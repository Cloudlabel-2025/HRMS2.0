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516" yWindow="516" windowWidth="15996" windowHeight="5244" activeTab="1"/>
  </bookViews>
  <sheets>
    <sheet name="Cover &amp; How to Run" sheetId="1" r:id="rId1"/>
    <sheet name="Matrix" sheetId="2" r:id="rId2"/>
    <sheet name="Scenarios" sheetId="3" r:id="rId3"/>
    <sheet name="Workflow Annex" sheetId="4" r:id="rId4"/>
    <sheet name="Execution Log" sheetId="5" r:id="rId5"/>
  </sheets>
  <calcPr calcId="144525"/>
</workbook>
</file>

<file path=xl/calcChain.xml><?xml version="1.0" encoding="utf-8"?>
<calcChain xmlns="http://schemas.openxmlformats.org/spreadsheetml/2006/main">
  <c r="B7" i="5" l="1"/>
  <c r="B6" i="5"/>
  <c r="B5" i="5"/>
  <c r="B4" i="5"/>
  <c r="B3" i="5"/>
</calcChain>
</file>

<file path=xl/sharedStrings.xml><?xml version="1.0" encoding="utf-8"?>
<sst xmlns="http://schemas.openxmlformats.org/spreadsheetml/2006/main" count="2330" uniqueCount="810">
  <si>
    <t>HRMS 2.0 — RBAC Test Scenarios</t>
  </si>
  <si>
    <t>Generated</t>
  </si>
  <si>
    <t>2026-09-19</t>
  </si>
  <si>
    <t>Roles covered</t>
  </si>
  <si>
    <t>Super Admin, Admin, Recruiter, Team Lead, Team Admin, Employee, Intern, SME (8)</t>
  </si>
  <si>
    <t>Modules covered</t>
  </si>
  <si>
    <t>Dashboard, Employees, Absence, Leave, Leave Policies, Bulk Import, Monitoring, Tasks, Projects, Payroll, Core HR</t>
  </si>
  <si>
    <t>Role</t>
  </si>
  <si>
    <t>Label / color</t>
  </si>
  <si>
    <t>Super Admin</t>
  </si>
  <si>
    <t>super_admin</t>
  </si>
  <si>
    <t>Admin</t>
  </si>
  <si>
    <t>admin_full</t>
  </si>
  <si>
    <t>Recruiter</t>
  </si>
  <si>
    <t>recruiter</t>
  </si>
  <si>
    <t>Team Lead</t>
  </si>
  <si>
    <t>team_lead</t>
  </si>
  <si>
    <t>Team Admin</t>
  </si>
  <si>
    <t>team_admin</t>
  </si>
  <si>
    <t>Employee</t>
  </si>
  <si>
    <t>employee</t>
  </si>
  <si>
    <t>Intern</t>
  </si>
  <si>
    <t>intern</t>
  </si>
  <si>
    <t>SME</t>
  </si>
  <si>
    <t>sme</t>
  </si>
  <si>
    <t>How to run</t>
  </si>
  <si>
    <t>Steps</t>
  </si>
  <si>
    <t>1. Seed</t>
  </si>
  <si>
    <t>Run reset-and-seed (scripts/reset-and-seed.mjs) so every role has an account in 2 departments + one cross-dept visibleDepartments case + one SME link.</t>
  </si>
  <si>
    <t>2. Login per role</t>
  </si>
  <si>
    <t>POST /api/auth/login per role; keep 8 bearer tokens. curl: curl -s -X POST $BASE/api/auth/login -H "Content-Type: application/json" -d '{"email":"&lt;role&gt;@test.local","password":"&lt;pwd&gt;"}'</t>
  </si>
  <si>
    <t>3. Execute</t>
  </si>
  <si>
    <t>Work Scenarios sheet top-to-bottom filtered by Module; record Result/Evidence per row.</t>
  </si>
  <si>
    <t>4. Negative checks</t>
  </si>
  <si>
    <t>Expect HTTP 403 + fail("Access denied") body; assert no DB write (re-query list endpoint).</t>
  </si>
  <si>
    <t>5. Threshold checks</t>
  </si>
  <si>
    <t>Absence/Monitoring threshold rows need a shift with halfDayThreshold=180 and clock-times before/after threshold on the same day.</t>
  </si>
  <si>
    <t>Conventions</t>
  </si>
  <si>
    <t>Meaning</t>
  </si>
  <si>
    <t>Positive</t>
  </si>
  <si>
    <t>Action allowed; expect 200/201 + UI element visible</t>
  </si>
  <si>
    <t>Negative</t>
  </si>
  <si>
    <t>Action denied; expect 403 + no state change</t>
  </si>
  <si>
    <t>Scope</t>
  </si>
  <si>
    <t>Data sliced by getDepartmentUserIds / getAccessibleDepartments / self</t>
  </si>
  <si>
    <t>Trace</t>
  </si>
  <si>
    <t>file:line pointer into the gate that enforces the expectation</t>
  </si>
  <si>
    <t>Module</t>
  </si>
  <si>
    <t>Dashboard</t>
  </si>
  <si>
    <t>full</t>
  </si>
  <si>
    <t>limited</t>
  </si>
  <si>
    <t>dept</t>
  </si>
  <si>
    <t>team</t>
  </si>
  <si>
    <t>self</t>
  </si>
  <si>
    <t>Employees</t>
  </si>
  <si>
    <t>view</t>
  </si>
  <si>
    <t>—</t>
  </si>
  <si>
    <t>Absence</t>
  </si>
  <si>
    <t>Leave</t>
  </si>
  <si>
    <t>Leave Policies</t>
  </si>
  <si>
    <t>Bulk Import</t>
  </si>
  <si>
    <t>Monitoring</t>
  </si>
  <si>
    <t>Tasks</t>
  </si>
  <si>
    <t>assigned</t>
  </si>
  <si>
    <t>Projects</t>
  </si>
  <si>
    <t>Payroll</t>
  </si>
  <si>
    <t>Core HR</t>
  </si>
  <si>
    <t>Note: Bulk Import gate = BULK_ADMIN_ROLES (super_admin, admin_full) in src/lib/leave/bulk-helpers.js:7 — not part of MODULE_ACCESS. Leave Policies gate = settings key + ADMIN_ROLES in settings/leave-policies routes.</t>
  </si>
  <si>
    <t>SC-ID</t>
  </si>
  <si>
    <t>Sub-module</t>
  </si>
  <si>
    <t>Category</t>
  </si>
  <si>
    <t>Precondition</t>
  </si>
  <si>
    <t>Action (UI or API)</t>
  </si>
  <si>
    <t>Expected — UI</t>
  </si>
  <si>
    <t>Expected — HTTP</t>
  </si>
  <si>
    <t>Expected — DB/State</t>
  </si>
  <si>
    <t>Negative?</t>
  </si>
  <si>
    <t>Priority</t>
  </si>
  <si>
    <t>Result</t>
  </si>
  <si>
    <t>Evidence</t>
  </si>
  <si>
    <t>Notes</t>
  </si>
  <si>
    <t>D-01</t>
  </si>
  <si>
    <t>Stat cards + Monitoring</t>
  </si>
  <si>
    <t>Access</t>
  </si>
  <si>
    <t>Seeded employees + today attendance</t>
  </si>
  <si>
    <t>Open /dashboard; GET /api/dashboard</t>
  </si>
  <si>
    <t>1. Login Super Admin 2. Open Dashboard 3. Call GET /api/dashboard</t>
  </si>
  <si>
    <t>Total Employees (global), Present Today (global), Pending Leaves (global), Monitoring + Overview cards</t>
  </si>
  <si>
    <t>200; monitoring + overview present</t>
  </si>
  <si>
    <t>No state change</t>
  </si>
  <si>
    <t>No</t>
  </si>
  <si>
    <t>src/app/api/dashboard/route.js:52,55,75,122</t>
  </si>
  <si>
    <t>P1</t>
  </si>
  <si>
    <t>Not run</t>
  </si>
  <si>
    <t/>
  </si>
  <si>
    <t>D-02</t>
  </si>
  <si>
    <t>Same as D-01</t>
  </si>
  <si>
    <t>1. Login Admin 2. Open Dashboard</t>
  </si>
  <si>
    <t>Same stat cards as Super Admin; Monitoring card visible; no Overview card</t>
  </si>
  <si>
    <t>200; monitoring present; overview null</t>
  </si>
  <si>
    <t>src/app/api/dashboard/route.js:52,75</t>
  </si>
  <si>
    <t>D-03</t>
  </si>
  <si>
    <t>Team stat cards</t>
  </si>
  <si>
    <t>Team members in own + visible departments</t>
  </si>
  <si>
    <t>1. Login Team Lead 2. Check Team Members / Present Today / Pending Approvals</t>
  </si>
  <si>
    <t>Team Members = teamIds.length; Present Today scoped to team; Pending Approvals scoped</t>
  </si>
  <si>
    <t>200; monitoring null</t>
  </si>
  <si>
    <t>src/app/api/dashboard/route.js:53,56,64</t>
  </si>
  <si>
    <t>D-04</t>
  </si>
  <si>
    <t>Same as D-03</t>
  </si>
  <si>
    <t>1. Login Team Admin 2. Check Team Members / Leave Approvals</t>
  </si>
  <si>
    <t>Same scoping as Team Lead; label Leave Approvals</t>
  </si>
  <si>
    <t>src/app/api/dashboard/route.js:53,56</t>
  </si>
  <si>
    <t>D-05</t>
  </si>
  <si>
    <t>Self cards</t>
  </si>
  <si>
    <t>Own attendance + leave + payslip seeded</t>
  </si>
  <si>
    <t>1. Login Employee 2. Check Days Present / Leave Balance / Last Payslip</t>
  </si>
  <si>
    <t>Days Present, Leave Balance, Pending Tasks, Last Payslip; totals show 0/—</t>
  </si>
  <si>
    <t>200; monitoring null; pendingTasks scoped to self</t>
  </si>
  <si>
    <t>src/app/api/dashboard/route.js:61,250</t>
  </si>
  <si>
    <t>D-06</t>
  </si>
  <si>
    <t>Same as D-05</t>
  </si>
  <si>
    <t>1. Login Intern 2. Check cards</t>
  </si>
  <si>
    <t>Same self cards as Employee</t>
  </si>
  <si>
    <t>src/app/api/dashboard/route.js:61</t>
  </si>
  <si>
    <t>P2</t>
  </si>
  <si>
    <t>D-07</t>
  </si>
  <si>
    <t>Recruiter cards</t>
  </si>
  <si>
    <t>Active job postings seeded</t>
  </si>
  <si>
    <t>1. Login Recruiter 2. Check Open Positions / Pending Tasks</t>
  </si>
  <si>
    <t>Open Positions = active jobs; Pending Tasks scoped to self</t>
  </si>
  <si>
    <t>200; openJobs counted; monitoring null</t>
  </si>
  <si>
    <t>src/app/api/dashboard/route.js:255</t>
  </si>
  <si>
    <t>D-08</t>
  </si>
  <si>
    <t>SME user linked</t>
  </si>
  <si>
    <t>1. Login SME 2. Check cards</t>
  </si>
  <si>
    <t>Generic self cards (Days Present etc.)</t>
  </si>
  <si>
    <t>src/app/(protected)/dashboard/page.js:178</t>
  </si>
  <si>
    <t>D-09</t>
  </si>
  <si>
    <t>Monitoring branch guard</t>
  </si>
  <si>
    <t>Any</t>
  </si>
  <si>
    <t>GET /api/dashboard</t>
  </si>
  <si>
    <t>1. Login Employee 2. Inspect payload</t>
  </si>
  <si>
    <t>No monitoring section rendered</t>
  </si>
  <si>
    <t>200 with monitoring:null</t>
  </si>
  <si>
    <t>Yes</t>
  </si>
  <si>
    <t>src/app/api/dashboard/route.js:75</t>
  </si>
  <si>
    <t>D-10</t>
  </si>
  <si>
    <t>Announcements</t>
  </si>
  <si>
    <t>Announcements with Company-wide + dept audiences</t>
  </si>
  <si>
    <t>1. Login Team Lead 2. Check Announcements card</t>
  </si>
  <si>
    <t>Only Company-wide + accessible-dept + My Team items</t>
  </si>
  <si>
    <t>200</t>
  </si>
  <si>
    <t>src/app/api/dashboard/route.js:30</t>
  </si>
  <si>
    <t>E-01</t>
  </si>
  <si>
    <t>Directory</t>
  </si>
  <si>
    <t>Active employees seeded</t>
  </si>
  <si>
    <t>Open /employees; GET /api/employees</t>
  </si>
  <si>
    <t>1. Login Super Admin 2. Open Employees</t>
  </si>
  <si>
    <t>Full directory, all departments</t>
  </si>
  <si>
    <t>200 full list</t>
  </si>
  <si>
    <t>src/app/api/employees/route.js:17,29</t>
  </si>
  <si>
    <t>E-02</t>
  </si>
  <si>
    <t>Same as E-01</t>
  </si>
  <si>
    <t>1. Login Admin 2. Open Employees</t>
  </si>
  <si>
    <t>Full directory</t>
  </si>
  <si>
    <t>E-03</t>
  </si>
  <si>
    <t>1. Login Recruiter 2. Open Employees</t>
  </si>
  <si>
    <t>Full directory (view); can create via POST</t>
  </si>
  <si>
    <t>200; POST allowed</t>
  </si>
  <si>
    <t>src/app/api/employees/route.js:29,118</t>
  </si>
  <si>
    <t>E-04</t>
  </si>
  <si>
    <t>Employees across 2 departments</t>
  </si>
  <si>
    <t>GET /api/employees</t>
  </si>
  <si>
    <t>1. Login Team Lead 2. List employees</t>
  </si>
  <si>
    <t>Only own + visibleDepartments departments</t>
  </si>
  <si>
    <t>200 filtered by department</t>
  </si>
  <si>
    <t>src/app/api/employees/route.js:29</t>
  </si>
  <si>
    <t>E-05</t>
  </si>
  <si>
    <t>Same as E-04</t>
  </si>
  <si>
    <t>1. Login Team Admin 2. List employees</t>
  </si>
  <si>
    <t>Only own department teams</t>
  </si>
  <si>
    <t>200 filtered</t>
  </si>
  <si>
    <t>E-06</t>
  </si>
  <si>
    <t>1. Login Employee 2. List employees</t>
  </si>
  <si>
    <t>Own department directory (dept access)</t>
  </si>
  <si>
    <t>E-07</t>
  </si>
  <si>
    <t>1. Login Intern 2. Call API</t>
  </si>
  <si>
    <t>Sidebar hides Employees; API denies</t>
  </si>
  <si>
    <t>403 Access denied</t>
  </si>
  <si>
    <t>src/app/api/employees/route.js:17</t>
  </si>
  <si>
    <t>E-08</t>
  </si>
  <si>
    <t>1. Login SME 2. Call API</t>
  </si>
  <si>
    <t>No access</t>
  </si>
  <si>
    <t>E-09</t>
  </si>
  <si>
    <t>Create</t>
  </si>
  <si>
    <t>POST /api/employees</t>
  </si>
  <si>
    <t>1. Login Team Lead 2. POST new employee</t>
  </si>
  <si>
    <t>No create button; API denies</t>
  </si>
  <si>
    <t>No record created</t>
  </si>
  <si>
    <t>src/app/api/employees/route.js:118</t>
  </si>
  <si>
    <t>E-10</t>
  </si>
  <si>
    <t>Create role guard</t>
  </si>
  <si>
    <t>POST /api/employees {role:super_admin}</t>
  </si>
  <si>
    <t>1. Login Admin 2. POST with super_admin role</t>
  </si>
  <si>
    <t>Validation error</t>
  </si>
  <si>
    <t>403 (only Super Admin may grant)</t>
  </si>
  <si>
    <t>src/app/api/employees/route.js:132</t>
  </si>
  <si>
    <t>A-01</t>
  </si>
  <si>
    <t>Month view</t>
  </si>
  <si>
    <t>Attendance + leaves + permissions seeded for month</t>
  </si>
  <si>
    <t>Open /absence; GET /api/absence?month=YYYY-MM</t>
  </si>
  <si>
    <t>1. Login Super Admin 2. Open Absence 3. Pick month</t>
  </si>
  <si>
    <t>All derived rows (absent/not_arrived/on_leave/on_permission/late/half_day) + summary</t>
  </si>
  <si>
    <t>200 absences[] + summary</t>
  </si>
  <si>
    <t>No state change (derived)</t>
  </si>
  <si>
    <t>src/app/api/absence/route.js:42,103</t>
  </si>
  <si>
    <t>A-02</t>
  </si>
  <si>
    <t>Same as A-01</t>
  </si>
  <si>
    <t>GET /api/absence?month=YYYY-MM</t>
  </si>
  <si>
    <t>1. Login Admin 2. Open Absence</t>
  </si>
  <si>
    <t>Same full-month view as Super Admin</t>
  </si>
  <si>
    <t>src/app/api/absence/route.js:42</t>
  </si>
  <si>
    <t>A-03</t>
  </si>
  <si>
    <t>Two departments with absences</t>
  </si>
  <si>
    <t>1. Login Team Lead 2. Open Absence</t>
  </si>
  <si>
    <t>Only dept + visibleDepartments users</t>
  </si>
  <si>
    <t>200 filtered roster</t>
  </si>
  <si>
    <t>src/app/api/absence/route.js:43,90</t>
  </si>
  <si>
    <t>A-04</t>
  </si>
  <si>
    <t>Same as A-03</t>
  </si>
  <si>
    <t>1. Login Team Admin 2. Open Absence</t>
  </si>
  <si>
    <t>Only team users</t>
  </si>
  <si>
    <t>A-05</t>
  </si>
  <si>
    <t>Own records</t>
  </si>
  <si>
    <t>1. Login Employee 2. Open Absence</t>
  </si>
  <si>
    <t>Only own rows</t>
  </si>
  <si>
    <t>200 self only</t>
  </si>
  <si>
    <t>src/app/api/absence/route.js:44</t>
  </si>
  <si>
    <t>A-06</t>
  </si>
  <si>
    <t>1. Login Intern 2. Open Absence</t>
  </si>
  <si>
    <t>A-07</t>
  </si>
  <si>
    <t>1. Login Recruiter 2. Open Absence</t>
  </si>
  <si>
    <t>A-08</t>
  </si>
  <si>
    <t>1. Login SME 2. Open Absence</t>
  </si>
  <si>
    <t>A-09</t>
  </si>
  <si>
    <t>Not arrived threshold</t>
  </si>
  <si>
    <t>Workflow</t>
  </si>
  <si>
    <t>No clock-in today; now BEFORE halfDayThreshold (180m)</t>
  </si>
  <si>
    <t>GET /api/absence (current month)</t>
  </si>
  <si>
    <t>1. Check before threshold time 2. Reload</t>
  </si>
  <si>
    <t>Grey Not Arrived badge (not red Absent)</t>
  </si>
  <si>
    <t>200 kind=not_arrived</t>
  </si>
  <si>
    <t>No Attendance row written</t>
  </si>
  <si>
    <t>src/lib/absence-status.js; src/app/api/absence/route.js:180</t>
  </si>
  <si>
    <t>A-10</t>
  </si>
  <si>
    <t>Absent after threshold</t>
  </si>
  <si>
    <t>No clock-in today; now AFTER halfDayThreshold</t>
  </si>
  <si>
    <t>1. Check after threshold 2. Reload</t>
  </si>
  <si>
    <t>Red Absent badge; permission badge persists if permission on file</t>
  </si>
  <si>
    <t>200 kind=absent</t>
  </si>
  <si>
    <t>markAbsentEmployees may write absent row</t>
  </si>
  <si>
    <t>src/lib/attendance-utils.js:188</t>
  </si>
  <si>
    <t>A-11</t>
  </si>
  <si>
    <t>On leave + dedupe</t>
  </si>
  <si>
    <t>Approved leave covering date; legacy Absence doc same date</t>
  </si>
  <si>
    <t>1. Approve leave 2. Reload month</t>
  </si>
  <si>
    <t>On Leave badge; legacy doc counted once (dedupe)</t>
  </si>
  <si>
    <t>200 kind=on_leave; single row per user/date</t>
  </si>
  <si>
    <t>No duplicate</t>
  </si>
  <si>
    <t>src/app/api/absence/route.js:236</t>
  </si>
  <si>
    <t>A-12</t>
  </si>
  <si>
    <t>Without Leave filter</t>
  </si>
  <si>
    <t>Absent rows with and without approved leave</t>
  </si>
  <si>
    <t>Select Without Leave dropdown</t>
  </si>
  <si>
    <t>1. Open Absence 2. Select Without Leave</t>
  </si>
  <si>
    <t>Only kind=absent AND hasLeave=false</t>
  </si>
  <si>
    <t>200 (client filter)</t>
  </si>
  <si>
    <t>src/app/(protected)/absence/page.js:79</t>
  </si>
  <si>
    <t>L-01</t>
  </si>
  <si>
    <t>All Leaves tab</t>
  </si>
  <si>
    <t>Leaves across roles</t>
  </si>
  <si>
    <t>Open /leave &gt; All Leaves; GET /api/leave?scope=all</t>
  </si>
  <si>
    <t>1. Login Super Admin 2. Open All Leaves</t>
  </si>
  <si>
    <t>All leave rows with type badge colors</t>
  </si>
  <si>
    <t>src/app/api/leave/route.js:50</t>
  </si>
  <si>
    <t>L-02</t>
  </si>
  <si>
    <t>Same as L-01</t>
  </si>
  <si>
    <t>GET /api/leave?scope=all</t>
  </si>
  <si>
    <t>1. Login Admin 2. Open All Leaves</t>
  </si>
  <si>
    <t>All rows visible</t>
  </si>
  <si>
    <t>L-03</t>
  </si>
  <si>
    <t>1. Login Team Lead 2. Call API</t>
  </si>
  <si>
    <t>No All Leaves tab</t>
  </si>
  <si>
    <t>L-04</t>
  </si>
  <si>
    <t>Team scope</t>
  </si>
  <si>
    <t>Team leaves</t>
  </si>
  <si>
    <t>GET /api/leave?scope=team</t>
  </si>
  <si>
    <t>1. Login Team Lead 2. Load team leaves</t>
  </si>
  <si>
    <t>Dept-scoped rows via getDepartmentUserIds</t>
  </si>
  <si>
    <t>src/app/api/leave/route.js:52</t>
  </si>
  <si>
    <t>L-05</t>
  </si>
  <si>
    <t>Approvals queue</t>
  </si>
  <si>
    <t>Pending leave in dept</t>
  </si>
  <si>
    <t>Open Pending Approvals; PUT /api/leave/:id approve</t>
  </si>
  <si>
    <t>1. Login Team Admin 2. Approve pending (admin approved first)</t>
  </si>
  <si>
    <t>Approve/Hold/Reject per canActOn</t>
  </si>
  <si>
    <t>200 on action</t>
  </si>
  <si>
    <t>status + workflowApprovals updated; balance moved</t>
  </si>
  <si>
    <t>src/app/(protected)/leave/page.js:192; src/app/api/leave/route.js:56</t>
  </si>
  <si>
    <t>L-06</t>
  </si>
  <si>
    <t>PUT /api/leave/:id approve</t>
  </si>
  <si>
    <t>1. Login Team Lead 2. Act on pending step for own hierarchy</t>
  </si>
  <si>
    <t>Buttons only when canAct true (role in approverRoles / legacy gates)</t>
  </si>
  <si>
    <t>200 or 403 if not entitled step</t>
  </si>
  <si>
    <t>Workflow step updated</t>
  </si>
  <si>
    <t>src/app/api/leave/[id]/route.js</t>
  </si>
  <si>
    <t>L-07</t>
  </si>
  <si>
    <t>Apply</t>
  </si>
  <si>
    <t>Balance available; no overlap/permission clash</t>
  </si>
  <si>
    <t>POST /api/leave</t>
  </si>
  <si>
    <t>1. Login Employee 2. Apply Leave 3. Submit valid dates+reason</t>
  </si>
  <si>
    <t>Success toast; row appears pending</t>
  </si>
  <si>
    <t>201; workflowApprovals built; pending balance incremented</t>
  </si>
  <si>
    <t>Leave pending; balance.pending += paidDays</t>
  </si>
  <si>
    <t>src/app/api/leave/route.js:285</t>
  </si>
  <si>
    <t>L-08</t>
  </si>
  <si>
    <t>Same as L-07</t>
  </si>
  <si>
    <t>1. Login Intern 2. Apply</t>
  </si>
  <si>
    <t>Same as Employee</t>
  </si>
  <si>
    <t>201</t>
  </si>
  <si>
    <t>Leave pending</t>
  </si>
  <si>
    <t>L-09</t>
  </si>
  <si>
    <t>Recruiter has leave:self</t>
  </si>
  <si>
    <t>1. Login Recruiter 2. Apply</t>
  </si>
  <si>
    <t>Own leave only</t>
  </si>
  <si>
    <t>L-10</t>
  </si>
  <si>
    <t>Apply (SME)</t>
  </si>
  <si>
    <t>Active SME profile; within contract</t>
  </si>
  <si>
    <t>1. Login SME 2. Apply</t>
  </si>
  <si>
    <t>Single Admin column; max 1 pending enforced</t>
  </si>
  <si>
    <t>201 or 400 if pending exists/contract exceeded</t>
  </si>
  <si>
    <t>Leave pending with smeId</t>
  </si>
  <si>
    <t>src/app/api/leave/route.js:227</t>
  </si>
  <si>
    <t>L-11</t>
  </si>
  <si>
    <t>Apply hidden</t>
  </si>
  <si>
    <t>Open /leave My tab</t>
  </si>
  <si>
    <t>1. Login Super Admin 2. Check Apply button</t>
  </si>
  <si>
    <t>No Apply Leave button; must pick employee via selectedEmpId</t>
  </si>
  <si>
    <t>GET scope=my&amp;userId=...</t>
  </si>
  <si>
    <t>src/app/(protected)/leave/page.js:105,241</t>
  </si>
  <si>
    <t>L-12</t>
  </si>
  <si>
    <t>Self-approval</t>
  </si>
  <si>
    <t>Own pending leave</t>
  </si>
  <si>
    <t>PUT /api/leave/:id approve own</t>
  </si>
  <si>
    <t>1. Apply as lead 2. Approve own request</t>
  </si>
  <si>
    <t>No action buttons on own row</t>
  </si>
  <si>
    <t>403 (canApproveLeave false for self)</t>
  </si>
  <si>
    <t>No change</t>
  </si>
  <si>
    <t>src/lib/rbac.js:76</t>
  </si>
  <si>
    <t>L-13</t>
  </si>
  <si>
    <t>Approve action</t>
  </si>
  <si>
    <t>Any pending leave</t>
  </si>
  <si>
    <t>1. Login Employee 2. Attempt approve</t>
  </si>
  <si>
    <t>No action buttons</t>
  </si>
  <si>
    <t>403</t>
  </si>
  <si>
    <t>L-14</t>
  </si>
  <si>
    <t>Type badge color</t>
  </si>
  <si>
    <t>Edge</t>
  </si>
  <si>
    <t>Mixed CL/SL/PL/LOP rows in All Leaves</t>
  </si>
  <si>
    <t>Open All Leaves</t>
  </si>
  <si>
    <t>Every Type badge shows policy color (server typeColor), never transparent</t>
  </si>
  <si>
    <t>200 rows carry typeColor/typeName</t>
  </si>
  <si>
    <t>src/app/api/leave/route.js:enrichment; src/app/(protected)/leave/page.js:420</t>
  </si>
  <si>
    <t>LP-01</t>
  </si>
  <si>
    <t>Page access</t>
  </si>
  <si>
    <t>Open /leave-policies</t>
  </si>
  <si>
    <t>1. Login Super Admin 2. Open page</t>
  </si>
  <si>
    <t>Full editor (General/Applicability/Entitlements/Workflow/Advanced)</t>
  </si>
  <si>
    <t>src/app/(protected)/leave-policies/page.js</t>
  </si>
  <si>
    <t>LP-02</t>
  </si>
  <si>
    <t>1. Login Admin 2. Open page</t>
  </si>
  <si>
    <t>Same editor as Super Admin</t>
  </si>
  <si>
    <t>LP-03</t>
  </si>
  <si>
    <t>Page + API deny</t>
  </si>
  <si>
    <t>Open /leave-policies; GET /api/settings/leave-policies</t>
  </si>
  <si>
    <t>1. Login Team Lead 2. Open page</t>
  </si>
  <si>
    <t>Access Restricted message</t>
  </si>
  <si>
    <t>src/app/api/settings/leave-policies/route.js:11</t>
  </si>
  <si>
    <t>LP-04</t>
  </si>
  <si>
    <t>API deny</t>
  </si>
  <si>
    <t>GET /api/settings/leave-policies</t>
  </si>
  <si>
    <t>1. Login Employee 2. Call API</t>
  </si>
  <si>
    <t>Denied</t>
  </si>
  <si>
    <t>LP-05</t>
  </si>
  <si>
    <t>LP-06</t>
  </si>
  <si>
    <t>1. Login Recruiter 2. Call API</t>
  </si>
  <si>
    <t>LP-07</t>
  </si>
  <si>
    <t>LP-08</t>
  </si>
  <si>
    <t>Default protection</t>
  </si>
  <si>
    <t>isDefault policy exists</t>
  </si>
  <si>
    <t>DELETE /api/settings/leave-policies/:id (?hard=true)</t>
  </si>
  <si>
    <t>1. Login Admin 2. Archive/delete default</t>
  </si>
  <si>
    <t>Blocked with message</t>
  </si>
  <si>
    <t>400 (default protected)</t>
  </si>
  <si>
    <t>Policy unchanged</t>
  </si>
  <si>
    <t>src/app/api/settings/leave-policies/[id]/route.js</t>
  </si>
  <si>
    <t>BI-01</t>
  </si>
  <si>
    <t>Template</t>
  </si>
  <si>
    <t>GET /api/leave/bulk/template?type=leaves</t>
  </si>
  <si>
    <t>1. Login Super Admin 2. Download template</t>
  </si>
  <si>
    <t>Excel template downloads</t>
  </si>
  <si>
    <t>src/app/api/leave/bulk/template/route.js:8</t>
  </si>
  <si>
    <t>BI-02</t>
  </si>
  <si>
    <t>Validate+Commit</t>
  </si>
  <si>
    <t>CSV/XLSX &lt;=3MB, &lt;=500 rows</t>
  </si>
  <si>
    <t>POST validate then commit</t>
  </si>
  <si>
    <t>1. Login Admin 2. Upload 3. Validate 4. Commit</t>
  </si>
  <si>
    <t>Row errors listed; commit creates balances/leaves + Attendance rows</t>
  </si>
  <si>
    <t>200; audit + Document archive</t>
  </si>
  <si>
    <t>Balances/leaves created per mode</t>
  </si>
  <si>
    <t>src/app/api/leave/bulk/validate/route.js:32; src/app/api/leave/bulk/commit/route.js:65</t>
  </si>
  <si>
    <t>BI-03</t>
  </si>
  <si>
    <t>Template deny</t>
  </si>
  <si>
    <t>GET /api/leave/bulk/template</t>
  </si>
  <si>
    <t>Page shows admin-only alert</t>
  </si>
  <si>
    <t>BI-04</t>
  </si>
  <si>
    <t>Validate deny</t>
  </si>
  <si>
    <t>POST /api/leave/bulk/validate</t>
  </si>
  <si>
    <t>1. Login Employee 2. Upload file</t>
  </si>
  <si>
    <t>src/app/api/leave/bulk/validate/route.js:32</t>
  </si>
  <si>
    <t>BI-05</t>
  </si>
  <si>
    <t>Commit deny</t>
  </si>
  <si>
    <t>POST /api/leave/bulk/commit</t>
  </si>
  <si>
    <t>1. Login Team Admin 2. Commit rows</t>
  </si>
  <si>
    <t>src/app/api/leave/bulk/commit/route.js:65</t>
  </si>
  <si>
    <t>BI-06</t>
  </si>
  <si>
    <t>skipEligibility</t>
  </si>
  <si>
    <t>POST validate with skipEligibility=1</t>
  </si>
  <si>
    <t>1. Login Admin (non-super) 2. Validate with skip flag</t>
  </si>
  <si>
    <t>Flag rejected</t>
  </si>
  <si>
    <t>403 (super_admin only); commit always re-checks</t>
  </si>
  <si>
    <t>src/app/api/leave/bulk/validate/route.js</t>
  </si>
  <si>
    <t>BI-07</t>
  </si>
  <si>
    <t>File guards</t>
  </si>
  <si>
    <t>File &gt;3MB or &gt;500 rows</t>
  </si>
  <si>
    <t>1. Upload oversized file</t>
  </si>
  <si>
    <t>Validation error message</t>
  </si>
  <si>
    <t>400</t>
  </si>
  <si>
    <t>BI-08</t>
  </si>
  <si>
    <t>Access deny</t>
  </si>
  <si>
    <t>Open /leave/bulk</t>
  </si>
  <si>
    <t>1. Login Recruiter 2. Open page</t>
  </si>
  <si>
    <t>Admin-only alert</t>
  </si>
  <si>
    <t>403 on API</t>
  </si>
  <si>
    <t>src/app/(protected)/leave/bulk/page.js</t>
  </si>
  <si>
    <t>BI-09</t>
  </si>
  <si>
    <t>1. Login Intern 2. Open page</t>
  </si>
  <si>
    <t>BI-10</t>
  </si>
  <si>
    <t>1. Login SME 2. Open page</t>
  </si>
  <si>
    <t>M-01</t>
  </si>
  <si>
    <t>Live board</t>
  </si>
  <si>
    <t>Team + shifts seeded</t>
  </si>
  <si>
    <t>Open /monitoring</t>
  </si>
  <si>
    <t>1. Login Super Admin 2. Open Monitoring</t>
  </si>
  <si>
    <t>All employees with Present/Late/Not Arrived/Absent/On Leave + work-progress modal</t>
  </si>
  <si>
    <t>src/app/(protected)/monitoring/page.js:68,350</t>
  </si>
  <si>
    <t>M-02</t>
  </si>
  <si>
    <t>Same as M-01</t>
  </si>
  <si>
    <t>1. Login Admin 2. Open Monitoring</t>
  </si>
  <si>
    <t>Full board (no work-progress modal unless super_admin)</t>
  </si>
  <si>
    <t>src/app/(protected)/monitoring/page.js:68</t>
  </si>
  <si>
    <t>M-03</t>
  </si>
  <si>
    <t>Dept scope</t>
  </si>
  <si>
    <t>Two departments</t>
  </si>
  <si>
    <t>1. Login Team Lead 2. Open Monitoring</t>
  </si>
  <si>
    <t>Own department only (API ?department=)</t>
  </si>
  <si>
    <t>src/app/(protected)/monitoring/page.js:72</t>
  </si>
  <si>
    <t>M-04</t>
  </si>
  <si>
    <t>Same as M-03</t>
  </si>
  <si>
    <t>1. Login Team Admin 2. Open Monitoring</t>
  </si>
  <si>
    <t>Own team only</t>
  </si>
  <si>
    <t>M-05</t>
  </si>
  <si>
    <t>GET /api/monitoring/patterns</t>
  </si>
  <si>
    <t>Monitoring hidden in sidebar</t>
  </si>
  <si>
    <t>src/app/api/monitoring/patterns/route.js:18</t>
  </si>
  <si>
    <t>M-06</t>
  </si>
  <si>
    <t>M-07</t>
  </si>
  <si>
    <t>M-08</t>
  </si>
  <si>
    <t>M-09</t>
  </si>
  <si>
    <t>Threshold parity</t>
  </si>
  <si>
    <t>No clock-in before halfDayThreshold</t>
  </si>
  <si>
    <t>Open /monitoring + dashboard card</t>
  </si>
  <si>
    <t>1. Check before threshold 2. Compare both</t>
  </si>
  <si>
    <t>Not Arrived (grey) on both; Absent (red) only after threshold</t>
  </si>
  <si>
    <t>src/app/(protected)/monitoring/page.js:157; src/app/api/dashboard/route.js:141</t>
  </si>
  <si>
    <t>M-10</t>
  </si>
  <si>
    <t>Pending permissions</t>
  </si>
  <si>
    <t>Pending permission exists</t>
  </si>
  <si>
    <t>Toggle Show Late + Pending</t>
  </si>
  <si>
    <t>1. Open Monitoring 2. Toggle checkbox</t>
  </si>
  <si>
    <t>Pending rows hidden by default with warning banner</t>
  </si>
  <si>
    <t>src/app/(protected)/monitoring/page.js:276</t>
  </si>
  <si>
    <t>T-01</t>
  </si>
  <si>
    <t>Project exists</t>
  </si>
  <si>
    <t>POST /api/tasks</t>
  </si>
  <si>
    <t>1. Login Super Admin 2. Create task for any user</t>
  </si>
  <si>
    <t>Task created</t>
  </si>
  <si>
    <t>src/app/api/tasks/route.js:47</t>
  </si>
  <si>
    <t>T-02</t>
  </si>
  <si>
    <t>Same-dept employee target</t>
  </si>
  <si>
    <t>1. Login Team Lead 2. Assign to team_admin/employee/intern/sme same dept</t>
  </si>
  <si>
    <t>src/lib/rbac.js:148</t>
  </si>
  <si>
    <t>T-03</t>
  </si>
  <si>
    <t>1. Login Team Admin 2. Assign to employee/intern/sme same dept</t>
  </si>
  <si>
    <t>T-04</t>
  </si>
  <si>
    <t>Create deny</t>
  </si>
  <si>
    <t>1. Login Employee 2. Create task</t>
  </si>
  <si>
    <t>No New Task button</t>
  </si>
  <si>
    <t>No record</t>
  </si>
  <si>
    <t>T-05</t>
  </si>
  <si>
    <t>1. Login Intern 2. Create task</t>
  </si>
  <si>
    <t>T-06</t>
  </si>
  <si>
    <t>GET /api/tasks</t>
  </si>
  <si>
    <t>Module hidden</t>
  </si>
  <si>
    <t>src/app/api/tasks/route.js:14</t>
  </si>
  <si>
    <t>T-07</t>
  </si>
  <si>
    <t>1. Login SME 2. Create task</t>
  </si>
  <si>
    <t>T-08</t>
  </si>
  <si>
    <t>View scope</t>
  </si>
  <si>
    <t>Tasks assigned to self + others</t>
  </si>
  <si>
    <t>1. Login Employee 2. List tasks</t>
  </si>
  <si>
    <t>Only assignedTo=self rows</t>
  </si>
  <si>
    <t>src/app/api/tasks/route.js:24</t>
  </si>
  <si>
    <t>T-09</t>
  </si>
  <si>
    <t>Assign rank guard</t>
  </si>
  <si>
    <t>Target is team_lead (higher rank)</t>
  </si>
  <si>
    <t>POST /api/tasks assign to lead</t>
  </si>
  <si>
    <t>1. Login Team Admin 2. Assign to Team Lead</t>
  </si>
  <si>
    <t>Assignee list excludes lead</t>
  </si>
  <si>
    <t>src/lib/rbac.js:156</t>
  </si>
  <si>
    <t>T-10</t>
  </si>
  <si>
    <t>Recruiter assignee</t>
  </si>
  <si>
    <t>Target is recruiter</t>
  </si>
  <si>
    <t>POST /api/tasks assign to recruiter</t>
  </si>
  <si>
    <t>1. Login Super Admin 2. Assign to recruiter</t>
  </si>
  <si>
    <t>Blocked</t>
  </si>
  <si>
    <t>403 (recruiter never assignee)</t>
  </si>
  <si>
    <t>src/lib/rbac.js:149</t>
  </si>
  <si>
    <t>T-11</t>
  </si>
  <si>
    <t>Status move</t>
  </si>
  <si>
    <t>Own assigned task</t>
  </si>
  <si>
    <t>Move to Blocked/Completed</t>
  </si>
  <si>
    <t>1. Login Employee 2. Change status</t>
  </si>
  <si>
    <t>Blocked/Completed buttons hidden</t>
  </si>
  <si>
    <t>403 if attempted</t>
  </si>
  <si>
    <t>src/app/(protected)/tasks/page.js:672</t>
  </si>
  <si>
    <t>PRJ-01</t>
  </si>
  <si>
    <t>Departments seeded</t>
  </si>
  <si>
    <t>POST /api/projects</t>
  </si>
  <si>
    <t>1. Login Super Admin 2. Create project</t>
  </si>
  <si>
    <t>Project approved immediately</t>
  </si>
  <si>
    <t>201 approvalStatus=approved</t>
  </si>
  <si>
    <t>Project created</t>
  </si>
  <si>
    <t>src/app/api/projects/route.js:41,110</t>
  </si>
  <si>
    <t>PRJ-02</t>
  </si>
  <si>
    <t>Create cross-dept</t>
  </si>
  <si>
    <t>Two departments selected</t>
  </si>
  <si>
    <t>POST /api/projects cross-dept</t>
  </si>
  <si>
    <t>1. Login Team Lead 2. Create spanning departments</t>
  </si>
  <si>
    <t>approvalRequired=true, status pending</t>
  </si>
  <si>
    <t>201 pending</t>
  </si>
  <si>
    <t>Project pending; approvers notified</t>
  </si>
  <si>
    <t>src/app/api/projects/route.js:55,110</t>
  </si>
  <si>
    <t>PRJ-03</t>
  </si>
  <si>
    <t>Approve</t>
  </si>
  <si>
    <t>Pending cross-dept project</t>
  </si>
  <si>
    <t>POST /api/projects/approval approve</t>
  </si>
  <si>
    <t>1. Login Admin 2. Approve</t>
  </si>
  <si>
    <t>Status approved</t>
  </si>
  <si>
    <t>approvalStatus=approved</t>
  </si>
  <si>
    <t>src/app/api/projects/approval/route.js:54</t>
  </si>
  <si>
    <t>PRJ-04</t>
  </si>
  <si>
    <t>Approve deny</t>
  </si>
  <si>
    <t>Pending project</t>
  </si>
  <si>
    <t>1. Login Team Lead 2. Attempt approve</t>
  </si>
  <si>
    <t>No approve button</t>
  </si>
  <si>
    <t>PRJ-05</t>
  </si>
  <si>
    <t>Resubmit</t>
  </si>
  <si>
    <t>Own rejected project</t>
  </si>
  <si>
    <t>POST /api/projects/approval resubmit</t>
  </si>
  <si>
    <t>1. Login creator 2. Resubmit</t>
  </si>
  <si>
    <t>Back to pending (creator only)</t>
  </si>
  <si>
    <t>approvalStatus=pending</t>
  </si>
  <si>
    <t>src/app/api/projects/approval/route.js:85</t>
  </si>
  <si>
    <t>PRJ-06</t>
  </si>
  <si>
    <t>Responsible guard</t>
  </si>
  <si>
    <t>Target recruiter/sme</t>
  </si>
  <si>
    <t>POST /api/projects responsible=recruiter</t>
  </si>
  <si>
    <t>1. Login Team Lead 2. Create with recruiter responsible</t>
  </si>
  <si>
    <t>400/403</t>
  </si>
  <si>
    <t>src/app/api/projects/route.js:97</t>
  </si>
  <si>
    <t>PRJ-07</t>
  </si>
  <si>
    <t>Assigned + unassigned projects</t>
  </si>
  <si>
    <t>GET /api/projects</t>
  </si>
  <si>
    <t>1. Login Employee 2. List</t>
  </si>
  <si>
    <t>Only team/created rows (assigned)</t>
  </si>
  <si>
    <t>src/app/api/projects/route.js:15</t>
  </si>
  <si>
    <t>PRJ-08</t>
  </si>
  <si>
    <t>src/app/api/projects/route.js:13</t>
  </si>
  <si>
    <t>PRJ-09</t>
  </si>
  <si>
    <t>Assigned project</t>
  </si>
  <si>
    <t>1. Login Intern 2. List</t>
  </si>
  <si>
    <t>Assigned rows only</t>
  </si>
  <si>
    <t>PRJ-10</t>
  </si>
  <si>
    <t>1. Login Admin 2. Create project</t>
  </si>
  <si>
    <t>Project created (never cross-dept for admins)</t>
  </si>
  <si>
    <t>src/app/api/projects/route.js:41</t>
  </si>
  <si>
    <t>PY-01</t>
  </si>
  <si>
    <t>Run payroll</t>
  </si>
  <si>
    <t>Salary structures + attendance in cycle</t>
  </si>
  <si>
    <t>POST /api/payroll/run {month}</t>
  </si>
  <si>
    <t>1. Login Super Admin 2. Run payroll</t>
  </si>
  <si>
    <t>Drafts generated; finalized/approved untouched</t>
  </si>
  <si>
    <t>200 processed/skipped</t>
  </si>
  <si>
    <t>Payroll drafts (runId)</t>
  </si>
  <si>
    <t>src/app/api/payroll/run/route.js:19</t>
  </si>
  <si>
    <t>PY-02</t>
  </si>
  <si>
    <t>Same as PY-01</t>
  </si>
  <si>
    <t>1. Login Admin 2. Run payroll</t>
  </si>
  <si>
    <t>Same as Super Admin</t>
  </si>
  <si>
    <t>Drafts created</t>
  </si>
  <si>
    <t>PY-03</t>
  </si>
  <si>
    <t>Run deny</t>
  </si>
  <si>
    <t>POST /api/payroll/run</t>
  </si>
  <si>
    <t>1. Login Team Lead 2. Run payroll</t>
  </si>
  <si>
    <t>No Run button</t>
  </si>
  <si>
    <t>No payroll created</t>
  </si>
  <si>
    <t>PY-04</t>
  </si>
  <si>
    <t>1. Login Team Admin 2. Run payroll</t>
  </si>
  <si>
    <t>PY-05</t>
  </si>
  <si>
    <t>Approve/Finalize</t>
  </si>
  <si>
    <t>Draft payrolls exist</t>
  </si>
  <si>
    <t>POST /api/payroll/approve {approve|finalize}</t>
  </si>
  <si>
    <t>1. Login Admin 2. Approve then Finalize</t>
  </si>
  <si>
    <t>Status draft-&gt;approved-&gt;finalized</t>
  </si>
  <si>
    <t>Statuses updated</t>
  </si>
  <si>
    <t>src/app/api/payroll/approve/route.js:13</t>
  </si>
  <si>
    <t>PY-06</t>
  </si>
  <si>
    <t>Rules/Structure</t>
  </si>
  <si>
    <t>GET/POST /api/payroll/rules</t>
  </si>
  <si>
    <t>Tabs hidden</t>
  </si>
  <si>
    <t>src/app/api/payroll/rules/route.js:11</t>
  </si>
  <si>
    <t>PY-07</t>
  </si>
  <si>
    <t>My payslip</t>
  </si>
  <si>
    <t>Own payroll generated</t>
  </si>
  <si>
    <t>Open /payroll myslip</t>
  </si>
  <si>
    <t>1. Login Employee 2. View slip</t>
  </si>
  <si>
    <t>Own slip only (query forced to self)</t>
  </si>
  <si>
    <t>200 self rows</t>
  </si>
  <si>
    <t>src/app/api/payroll/route.js:16</t>
  </si>
  <si>
    <t>PY-08</t>
  </si>
  <si>
    <t>1. Login SME 2. View slip</t>
  </si>
  <si>
    <t>Own slip only</t>
  </si>
  <si>
    <t>PY-09</t>
  </si>
  <si>
    <t>GET /api/payroll</t>
  </si>
  <si>
    <t>1. Login Intern 2. Open payroll</t>
  </si>
  <si>
    <t>Module hidden; API forces self (empty)</t>
  </si>
  <si>
    <t>200 empty (matrix false)</t>
  </si>
  <si>
    <t>PY-10</t>
  </si>
  <si>
    <t>1. Login Recruiter 2. Run payroll</t>
  </si>
  <si>
    <t>C-01</t>
  </si>
  <si>
    <t>Directory read</t>
  </si>
  <si>
    <t>Identities + profiles seeded</t>
  </si>
  <si>
    <t>GET /api/core/profiles</t>
  </si>
  <si>
    <t>1. Login Super Admin 2. Open Core HR</t>
  </si>
  <si>
    <t>200 all</t>
  </si>
  <si>
    <t>src/app/api/core/profiles/route.js:32</t>
  </si>
  <si>
    <t>C-02</t>
  </si>
  <si>
    <t>Same as C-01</t>
  </si>
  <si>
    <t>1. Login Admin 2. Open Core HR</t>
  </si>
  <si>
    <t>C-03</t>
  </si>
  <si>
    <t>1. Login Recruiter 2. Open Core HR</t>
  </si>
  <si>
    <t>Read-only directory (view)</t>
  </si>
  <si>
    <t>C-04</t>
  </si>
  <si>
    <t>Directory scope</t>
  </si>
  <si>
    <t>1. Login Team Lead 2. Open directory</t>
  </si>
  <si>
    <t>Own + accessible departments / reporting line</t>
  </si>
  <si>
    <t>src/app/api/core/profiles/route.js:50</t>
  </si>
  <si>
    <t>C-05</t>
  </si>
  <si>
    <t>Same as C-04</t>
  </si>
  <si>
    <t>1. Login Team Admin 2. Open directory</t>
  </si>
  <si>
    <t>Scoped to team</t>
  </si>
  <si>
    <t>C-06</t>
  </si>
  <si>
    <t>Directory deny</t>
  </si>
  <si>
    <t>Core HR hidden</t>
  </si>
  <si>
    <t>C-07</t>
  </si>
  <si>
    <t>C-08</t>
  </si>
  <si>
    <t>C-09</t>
  </si>
  <si>
    <t>Create profile</t>
  </si>
  <si>
    <t>Identity exists</t>
  </si>
  <si>
    <t>POST /api/core/profiles</t>
  </si>
  <si>
    <t>1. Login Admin 2. Create profile</t>
  </si>
  <si>
    <t>Profile created</t>
  </si>
  <si>
    <t>EmpProfile created</t>
  </si>
  <si>
    <t>src/app/api/core/profiles/route.js:103</t>
  </si>
  <si>
    <t>C-10</t>
  </si>
  <si>
    <t>1. Login Team Lead 2. Create profile</t>
  </si>
  <si>
    <t>403 (write roles only)</t>
  </si>
  <si>
    <t>C-11</t>
  </si>
  <si>
    <t>Privileged role grant</t>
  </si>
  <si>
    <t>PUT /api/core/profiles/:id {rbacRole:team_admin}</t>
  </si>
  <si>
    <t>1. Login Team Lead 2. Grant manager role</t>
  </si>
  <si>
    <t>Role dropdown restricted</t>
  </si>
  <si>
    <t>403 (admins only)</t>
  </si>
  <si>
    <t>src/app/api/core/profiles/[id]/route.js:79</t>
  </si>
  <si>
    <t>C-12</t>
  </si>
  <si>
    <t>Lifecycle transition</t>
  </si>
  <si>
    <t>Profile in probation, same dept</t>
  </si>
  <si>
    <t>POST /api/core/lifecycle/transition confirm_probation</t>
  </si>
  <si>
    <t>1. Login Team Lead 2. Confirm probation</t>
  </si>
  <si>
    <t>Transition applied</t>
  </si>
  <si>
    <t>Lifecycle event recorded</t>
  </si>
  <si>
    <t>src/app/api/core/lifecycle/transition/route.js:117</t>
  </si>
  <si>
    <t>C-13</t>
  </si>
  <si>
    <t>Lifecycle deny</t>
  </si>
  <si>
    <t>POST /api/core/lifecycle/transition</t>
  </si>
  <si>
    <t>1. Login Employee 2. Attempt transition</t>
  </si>
  <si>
    <t>C-14</t>
  </si>
  <si>
    <t>Self-service review</t>
  </si>
  <si>
    <t>Pending permission/profile request</t>
  </si>
  <si>
    <t>GET+PUT /api/core/self-service-requests</t>
  </si>
  <si>
    <t>1. Login Admin 2. Review queue 3. Approve/Reject</t>
  </si>
  <si>
    <t>Queue visible; decision recorded</t>
  </si>
  <si>
    <t>Request status updated</t>
  </si>
  <si>
    <t>src/app/api/core/self-service-requests/route.js:209,277</t>
  </si>
  <si>
    <t>C-15</t>
  </si>
  <si>
    <t>Self-service deny</t>
  </si>
  <si>
    <t>GET /api/core/self-service-requests</t>
  </si>
  <si>
    <t>1. Login Team Lead 2. Open review queue</t>
  </si>
  <si>
    <t>Denied (write roles only)</t>
  </si>
  <si>
    <t>src/app/api/core/self-service-requests/route.js:209</t>
  </si>
  <si>
    <t>A. Task assignment matrix (rank + department)</t>
  </si>
  <si>
    <t>src/lib/rbac.js:148 canAssignTask; recruiter never assignee</t>
  </si>
  <si>
    <t>Assigner \ Assignee</t>
  </si>
  <si>
    <t>Yes (same any dept)</t>
  </si>
  <si>
    <t>Never</t>
  </si>
  <si>
    <t>No (rank)</t>
  </si>
  <si>
    <t>Yes (own dept)</t>
  </si>
  <si>
    <t>B. Leave approval flow</t>
  </si>
  <si>
    <t>src/app/(protected)/leave/page.js:192 canActOn; src/app/api/leave/[id]/route.js</t>
  </si>
  <si>
    <t>Step</t>
  </si>
  <si>
    <t>Who acts</t>
  </si>
  <si>
    <t>Gate</t>
  </si>
  <si>
    <t>Outcome</t>
  </si>
  <si>
    <t>Employee/Intern/Recruiter/SME/Team roles (not Super Admin UI)</t>
  </si>
  <si>
    <t>Policy eligibility, overlap, permission clash</t>
  </si>
  <si>
    <t>pending + workflowApprovals built</t>
  </si>
  <si>
    <t>Admin step</t>
  </si>
  <si>
    <t>Super Admin / Admin</t>
  </si>
  <si>
    <t>Legacy: adminApproval pending; Dynamic: role in step approverRoles</t>
  </si>
  <si>
    <t>approved / held (+reason) / rejected</t>
  </si>
  <si>
    <t>Team Admin step</t>
  </si>
  <si>
    <t>Team Admin (same dept)</t>
  </si>
  <si>
    <t>Legacy: admin approved + teamAdmin pending; Dynamic: step role</t>
  </si>
  <si>
    <t>approved / held / rejected</t>
  </si>
  <si>
    <t>Team Lead step</t>
  </si>
  <si>
    <t>Team Lead (same dept)</t>
  </si>
  <si>
    <t>Legacy: admin approved + tl pending; Dynamic: step role</t>
  </si>
  <si>
    <t>Override</t>
  </si>
  <si>
    <t>Super Admin / Admin on held|rejected downstream</t>
  </si>
  <si>
    <t>hasObjection(l) true</t>
  </si>
  <si>
    <t>Override Approve / Reject</t>
  </si>
  <si>
    <t>Resolve</t>
  </si>
  <si>
    <t>System</t>
  </si>
  <si>
    <t>Any rejected -&gt; rejected; any held -&gt; pending; all approve -&gt; approved</t>
  </si>
  <si>
    <t>Final status + balance/attendance updates</t>
  </si>
  <si>
    <t>C. Core HR lifecycle transitions</t>
  </si>
  <si>
    <t>src/app/api/core/lifecycle/transition/route.js:117,248</t>
  </si>
  <si>
    <t>Transition</t>
  </si>
  <si>
    <t>Allowed roles</t>
  </si>
  <si>
    <t>confirm_probation</t>
  </si>
  <si>
    <t>Team Lead / Team Admin / Admins</t>
  </si>
  <si>
    <t>Same dept or reporting line; status onboarding|probation</t>
  </si>
  <si>
    <t>active</t>
  </si>
  <si>
    <t>start_notice / finalize_exit</t>
  </si>
  <si>
    <t>Same dept; notice_period for finalize</t>
  </si>
  <si>
    <t>separated (+ clearance)</t>
  </si>
  <si>
    <t>rehire</t>
  </si>
  <si>
    <t>Separated profile (locked profiles only rehire)</t>
  </si>
  <si>
    <t>Rehired profile</t>
  </si>
  <si>
    <t>Promote to privileged role</t>
  </si>
  <si>
    <t>Super Admin / Admin only</t>
  </si>
  <si>
    <t>CORE_HR_PRIVILEGED_ROLES target</t>
  </si>
  <si>
    <t>403 for team roles</t>
  </si>
  <si>
    <t>Metric</t>
  </si>
  <si>
    <t>Value</t>
  </si>
  <si>
    <t>Formula</t>
  </si>
  <si>
    <t>Total scenarios</t>
  </si>
  <si>
    <t>Count of Scenarios rows</t>
  </si>
  <si>
    <t>Pass</t>
  </si>
  <si>
    <t>=COUNTIF(Scenarios!O2:O122,"Pass")</t>
  </si>
  <si>
    <t>Fail</t>
  </si>
  <si>
    <t>=COUNTIF(Scenarios!O2:O122,"Fail")</t>
  </si>
  <si>
    <t>=COUNTIF(Scenarios!O2:O122,"Blocked")</t>
  </si>
  <si>
    <t>=COUNTIF(Scenarios!O2:O122,"Not run")</t>
  </si>
  <si>
    <t>Pass rate</t>
  </si>
  <si>
    <t>Pass / Total</t>
  </si>
  <si>
    <t>Run notes</t>
  </si>
  <si>
    <t>Date / tester / environment per execution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</si>
</sst>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9">
    <font>
      <sz val="11"/>
      <color theme="1"/>
      <name val="Calibri"/>
      <family val="2"/>
      <scheme val="minor"/>
    </font>
    <font>
      <b/>
      <sz val="16"/>
      <color rgb="FF0F172A"/>
      <name val="Calibri"/>
    </font>
    <font>
      <b/>
      <sz val="11"/>
      <color rgb="FFFFFFFF"/>
      <name val="Calibri"/>
    </font>
    <font>
      <b/>
      <sz val="11"/>
      <color rgb="FF8B5CF6"/>
      <name val="Calibri"/>
    </font>
    <font>
      <b/>
      <sz val="11"/>
      <color rgb="FF3B82F6"/>
      <name val="Calibri"/>
    </font>
    <font>
      <b/>
      <sz val="11"/>
      <color rgb="FF06B6D4"/>
      <name val="Calibri"/>
    </font>
    <font>
      <b/>
      <sz val="11"/>
      <color rgb="FF10B981"/>
      <name val="Calibri"/>
    </font>
    <font>
      <b/>
      <sz val="11"/>
      <color rgb="FFF97316"/>
      <name val="Calibri"/>
    </font>
    <font>
      <b/>
      <sz val="11"/>
      <color rgb="FFF59E0B"/>
      <name val="Calibri"/>
    </font>
    <font>
      <b/>
      <sz val="11"/>
      <color rgb="FF64748B"/>
      <name val="Calibri"/>
    </font>
    <font>
      <b/>
      <sz val="11"/>
      <color rgb="FF0891B2"/>
      <name val="Calibri"/>
    </font>
    <font>
      <b/>
      <sz val="11"/>
      <name val="Calibri"/>
    </font>
    <font>
      <sz val="11"/>
      <name val="Calibri"/>
    </font>
    <font>
      <i/>
      <sz val="11"/>
      <color rgb="FF64748B"/>
      <name val="Calibri"/>
    </font>
    <font>
      <b/>
      <sz val="10"/>
      <name val="Calibri"/>
    </font>
    <font>
      <sz val="10"/>
      <name val="Calibri"/>
    </font>
    <font>
      <b/>
      <sz val="13"/>
      <color rgb="FF0F172A"/>
      <name val="Calibri"/>
    </font>
    <font>
      <i/>
      <sz val="10"/>
      <color rgb="FF64748B"/>
      <name val="Calibri"/>
    </font>
    <font>
      <sz val="10"/>
      <color rgb="FF64748B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5" fillId="5" borderId="1" xfId="0" applyFont="1" applyFill="1" applyBorder="1" applyAlignment="1">
      <alignment vertical="top" wrapText="1"/>
    </xf>
    <xf numFmtId="0" fontId="15" fillId="6" borderId="1" xfId="0" applyFont="1" applyFill="1" applyBorder="1" applyAlignment="1">
      <alignment vertical="top" wrapText="1"/>
    </xf>
    <xf numFmtId="0" fontId="15" fillId="4" borderId="1" xfId="0" applyFont="1" applyFill="1" applyBorder="1" applyAlignment="1">
      <alignment vertical="top" wrapText="1"/>
    </xf>
    <xf numFmtId="0" fontId="16" fillId="0" borderId="0" xfId="0" applyFont="1"/>
    <xf numFmtId="0" fontId="17" fillId="0" borderId="0" xfId="0" applyFont="1"/>
    <xf numFmtId="0" fontId="2" fillId="7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vertical="top" wrapText="1"/>
    </xf>
    <xf numFmtId="164" fontId="11" fillId="0" borderId="1" xfId="0" applyNumberFormat="1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4.4"/>
  <cols>
    <col min="1" max="1" width="26" customWidth="1"/>
    <col min="2" max="2" width="120" customWidth="1"/>
  </cols>
  <sheetData>
    <row r="1" spans="1:2" s="1" customFormat="1" ht="21">
      <c r="A1" s="1" t="s">
        <v>0</v>
      </c>
    </row>
    <row r="2" spans="1:2" ht="12">
      <c r="A2" t="s">
        <v>1</v>
      </c>
      <c r="B2" t="s">
        <v>2</v>
      </c>
    </row>
    <row r="3" spans="1:2" ht="12">
      <c r="A3" t="s">
        <v>3</v>
      </c>
      <c r="B3" t="s">
        <v>4</v>
      </c>
    </row>
    <row r="4" spans="1:2" ht="12">
      <c r="A4" t="s">
        <v>5</v>
      </c>
      <c r="B4" t="s">
        <v>6</v>
      </c>
    </row>
    <row r="6" spans="1:2" ht="17.55" customHeight="1">
      <c r="A6" s="2" t="s">
        <v>7</v>
      </c>
      <c r="B6" s="2" t="s">
        <v>8</v>
      </c>
    </row>
    <row r="7" spans="1:2" ht="12">
      <c r="A7" s="3" t="s">
        <v>9</v>
      </c>
      <c r="B7" s="4" t="s">
        <v>10</v>
      </c>
    </row>
    <row r="8" spans="1:2" ht="12">
      <c r="A8" s="5" t="s">
        <v>11</v>
      </c>
      <c r="B8" s="4" t="s">
        <v>12</v>
      </c>
    </row>
    <row r="9" spans="1:2" ht="12">
      <c r="A9" s="6" t="s">
        <v>13</v>
      </c>
      <c r="B9" s="4" t="s">
        <v>14</v>
      </c>
    </row>
    <row r="10" spans="1:2" ht="12">
      <c r="A10" s="7" t="s">
        <v>15</v>
      </c>
      <c r="B10" s="4" t="s">
        <v>16</v>
      </c>
    </row>
    <row r="11" spans="1:2" ht="12">
      <c r="A11" s="8" t="s">
        <v>17</v>
      </c>
      <c r="B11" s="4" t="s">
        <v>18</v>
      </c>
    </row>
    <row r="12" spans="1:2" ht="12">
      <c r="A12" s="9" t="s">
        <v>19</v>
      </c>
      <c r="B12" s="4" t="s">
        <v>20</v>
      </c>
    </row>
    <row r="13" spans="1:2" ht="12">
      <c r="A13" s="10" t="s">
        <v>21</v>
      </c>
      <c r="B13" s="4" t="s">
        <v>22</v>
      </c>
    </row>
    <row r="14" spans="1:2" ht="12">
      <c r="A14" s="11" t="s">
        <v>23</v>
      </c>
      <c r="B14" s="4" t="s">
        <v>24</v>
      </c>
    </row>
    <row r="16" spans="1:2" ht="17.55" customHeight="1">
      <c r="A16" s="2" t="s">
        <v>25</v>
      </c>
      <c r="B16" s="2" t="s">
        <v>26</v>
      </c>
    </row>
    <row r="17" spans="1:2" ht="12">
      <c r="A17" s="12" t="s">
        <v>27</v>
      </c>
      <c r="B17" s="4" t="s">
        <v>28</v>
      </c>
    </row>
    <row r="18" spans="1:2" ht="12">
      <c r="A18" s="12" t="s">
        <v>29</v>
      </c>
      <c r="B18" s="4" t="s">
        <v>30</v>
      </c>
    </row>
    <row r="19" spans="1:2" ht="12">
      <c r="A19" s="12" t="s">
        <v>31</v>
      </c>
      <c r="B19" s="4" t="s">
        <v>32</v>
      </c>
    </row>
    <row r="20" spans="1:2" ht="12">
      <c r="A20" s="12" t="s">
        <v>33</v>
      </c>
      <c r="B20" s="4" t="s">
        <v>34</v>
      </c>
    </row>
    <row r="21" spans="1:2" ht="12">
      <c r="A21" s="12" t="s">
        <v>35</v>
      </c>
      <c r="B21" s="4" t="s">
        <v>36</v>
      </c>
    </row>
    <row r="23" spans="1:2" ht="17.55" customHeight="1">
      <c r="A23" s="2" t="s">
        <v>37</v>
      </c>
      <c r="B23" s="2" t="s">
        <v>38</v>
      </c>
    </row>
    <row r="24" spans="1:2">
      <c r="A24" s="12" t="s">
        <v>39</v>
      </c>
      <c r="B24" s="4" t="s">
        <v>40</v>
      </c>
    </row>
    <row r="25" spans="1:2">
      <c r="A25" s="12" t="s">
        <v>41</v>
      </c>
      <c r="B25" s="4" t="s">
        <v>42</v>
      </c>
    </row>
    <row r="26" spans="1:2">
      <c r="A26" s="12" t="s">
        <v>43</v>
      </c>
      <c r="B26" s="4" t="s">
        <v>44</v>
      </c>
    </row>
    <row r="27" spans="1:2">
      <c r="A27" s="12" t="s">
        <v>45</v>
      </c>
      <c r="B27" s="4" t="s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18" customWidth="1"/>
    <col min="2" max="9" width="14" customWidth="1"/>
  </cols>
  <sheetData>
    <row r="1" spans="1:9" ht="22.05" customHeight="1">
      <c r="A1" s="2" t="s">
        <v>47</v>
      </c>
      <c r="B1" s="2" t="s">
        <v>9</v>
      </c>
      <c r="C1" s="2" t="s">
        <v>11</v>
      </c>
      <c r="D1" s="2" t="s">
        <v>13</v>
      </c>
      <c r="E1" s="2" t="s">
        <v>15</v>
      </c>
      <c r="F1" s="2" t="s">
        <v>17</v>
      </c>
      <c r="G1" s="2" t="s">
        <v>19</v>
      </c>
      <c r="H1" s="2" t="s">
        <v>21</v>
      </c>
      <c r="I1" s="2" t="s">
        <v>23</v>
      </c>
    </row>
    <row r="2" spans="1:9" ht="19.95" customHeight="1">
      <c r="A2" s="13" t="s">
        <v>48</v>
      </c>
      <c r="B2" s="14" t="s">
        <v>49</v>
      </c>
      <c r="C2" s="14" t="s">
        <v>49</v>
      </c>
      <c r="D2" s="14" t="s">
        <v>50</v>
      </c>
      <c r="E2" s="14" t="s">
        <v>51</v>
      </c>
      <c r="F2" s="14" t="s">
        <v>52</v>
      </c>
      <c r="G2" s="14" t="s">
        <v>53</v>
      </c>
      <c r="H2" s="14" t="s">
        <v>50</v>
      </c>
      <c r="I2" s="14" t="s">
        <v>53</v>
      </c>
    </row>
    <row r="3" spans="1:9" ht="19.95" customHeight="1">
      <c r="A3" s="13" t="s">
        <v>54</v>
      </c>
      <c r="B3" s="14" t="s">
        <v>49</v>
      </c>
      <c r="C3" s="14" t="s">
        <v>49</v>
      </c>
      <c r="D3" s="14" t="s">
        <v>55</v>
      </c>
      <c r="E3" s="14" t="s">
        <v>51</v>
      </c>
      <c r="F3" s="14" t="s">
        <v>52</v>
      </c>
      <c r="G3" s="14" t="s">
        <v>51</v>
      </c>
      <c r="H3" s="15" t="s">
        <v>56</v>
      </c>
      <c r="I3" s="15" t="s">
        <v>56</v>
      </c>
    </row>
    <row r="4" spans="1:9" ht="19.95" customHeight="1">
      <c r="A4" s="13" t="s">
        <v>57</v>
      </c>
      <c r="B4" s="14" t="s">
        <v>49</v>
      </c>
      <c r="C4" s="14" t="s">
        <v>49</v>
      </c>
      <c r="D4" s="15" t="s">
        <v>56</v>
      </c>
      <c r="E4" s="14" t="s">
        <v>51</v>
      </c>
      <c r="F4" s="14" t="s">
        <v>52</v>
      </c>
      <c r="G4" s="14" t="s">
        <v>53</v>
      </c>
      <c r="H4" s="14" t="s">
        <v>53</v>
      </c>
      <c r="I4" s="15" t="s">
        <v>56</v>
      </c>
    </row>
    <row r="5" spans="1:9" ht="19.95" customHeight="1">
      <c r="A5" s="13" t="s">
        <v>58</v>
      </c>
      <c r="B5" s="14" t="s">
        <v>49</v>
      </c>
      <c r="C5" s="14" t="s">
        <v>49</v>
      </c>
      <c r="D5" s="14" t="s">
        <v>53</v>
      </c>
      <c r="E5" s="14" t="s">
        <v>51</v>
      </c>
      <c r="F5" s="14" t="s">
        <v>52</v>
      </c>
      <c r="G5" s="14" t="s">
        <v>53</v>
      </c>
      <c r="H5" s="14" t="s">
        <v>53</v>
      </c>
      <c r="I5" s="14" t="s">
        <v>53</v>
      </c>
    </row>
    <row r="6" spans="1:9" ht="19.95" customHeight="1">
      <c r="A6" s="13" t="s">
        <v>59</v>
      </c>
      <c r="B6" s="14" t="s">
        <v>49</v>
      </c>
      <c r="C6" s="14" t="s">
        <v>50</v>
      </c>
      <c r="D6" s="15" t="s">
        <v>56</v>
      </c>
      <c r="E6" s="15" t="s">
        <v>56</v>
      </c>
      <c r="F6" s="15" t="s">
        <v>56</v>
      </c>
      <c r="G6" s="15" t="s">
        <v>56</v>
      </c>
      <c r="H6" s="15" t="s">
        <v>56</v>
      </c>
      <c r="I6" s="15" t="s">
        <v>56</v>
      </c>
    </row>
    <row r="7" spans="1:9" ht="19.95" customHeight="1">
      <c r="A7" s="13" t="s">
        <v>60</v>
      </c>
      <c r="B7" s="14" t="s">
        <v>49</v>
      </c>
      <c r="C7" s="14" t="s">
        <v>49</v>
      </c>
      <c r="D7" s="15" t="s">
        <v>56</v>
      </c>
      <c r="E7" s="15" t="s">
        <v>56</v>
      </c>
      <c r="F7" s="15" t="s">
        <v>56</v>
      </c>
      <c r="G7" s="15" t="s">
        <v>56</v>
      </c>
      <c r="H7" s="15" t="s">
        <v>56</v>
      </c>
      <c r="I7" s="15" t="s">
        <v>56</v>
      </c>
    </row>
    <row r="8" spans="1:9" ht="19.95" customHeight="1">
      <c r="A8" s="13" t="s">
        <v>61</v>
      </c>
      <c r="B8" s="14" t="s">
        <v>49</v>
      </c>
      <c r="C8" s="14" t="s">
        <v>49</v>
      </c>
      <c r="D8" s="15" t="s">
        <v>56</v>
      </c>
      <c r="E8" s="14" t="s">
        <v>51</v>
      </c>
      <c r="F8" s="14" t="s">
        <v>52</v>
      </c>
      <c r="G8" s="15" t="s">
        <v>56</v>
      </c>
      <c r="H8" s="15" t="s">
        <v>56</v>
      </c>
      <c r="I8" s="15" t="s">
        <v>56</v>
      </c>
    </row>
    <row r="9" spans="1:9" ht="19.95" customHeight="1">
      <c r="A9" s="13" t="s">
        <v>62</v>
      </c>
      <c r="B9" s="14" t="s">
        <v>49</v>
      </c>
      <c r="C9" s="14" t="s">
        <v>49</v>
      </c>
      <c r="D9" s="15" t="s">
        <v>56</v>
      </c>
      <c r="E9" s="14" t="s">
        <v>51</v>
      </c>
      <c r="F9" s="14" t="s">
        <v>52</v>
      </c>
      <c r="G9" s="14" t="s">
        <v>63</v>
      </c>
      <c r="H9" s="14" t="s">
        <v>63</v>
      </c>
      <c r="I9" s="14" t="s">
        <v>63</v>
      </c>
    </row>
    <row r="10" spans="1:9" ht="19.95" customHeight="1">
      <c r="A10" s="13" t="s">
        <v>64</v>
      </c>
      <c r="B10" s="14" t="s">
        <v>49</v>
      </c>
      <c r="C10" s="14" t="s">
        <v>49</v>
      </c>
      <c r="D10" s="15" t="s">
        <v>56</v>
      </c>
      <c r="E10" s="14" t="s">
        <v>51</v>
      </c>
      <c r="F10" s="14" t="s">
        <v>52</v>
      </c>
      <c r="G10" s="14" t="s">
        <v>63</v>
      </c>
      <c r="H10" s="14" t="s">
        <v>63</v>
      </c>
      <c r="I10" s="14" t="s">
        <v>63</v>
      </c>
    </row>
    <row r="11" spans="1:9" ht="19.95" customHeight="1">
      <c r="A11" s="13" t="s">
        <v>65</v>
      </c>
      <c r="B11" s="14" t="s">
        <v>49</v>
      </c>
      <c r="C11" s="14" t="s">
        <v>50</v>
      </c>
      <c r="D11" s="15" t="s">
        <v>56</v>
      </c>
      <c r="E11" s="15" t="s">
        <v>56</v>
      </c>
      <c r="F11" s="15" t="s">
        <v>56</v>
      </c>
      <c r="G11" s="14" t="s">
        <v>53</v>
      </c>
      <c r="H11" s="15" t="s">
        <v>56</v>
      </c>
      <c r="I11" s="14" t="s">
        <v>53</v>
      </c>
    </row>
    <row r="12" spans="1:9" ht="19.95" customHeight="1">
      <c r="A12" s="13" t="s">
        <v>66</v>
      </c>
      <c r="B12" s="14" t="s">
        <v>49</v>
      </c>
      <c r="C12" s="14" t="s">
        <v>49</v>
      </c>
      <c r="D12" s="14" t="s">
        <v>55</v>
      </c>
      <c r="E12" s="14" t="s">
        <v>51</v>
      </c>
      <c r="F12" s="14" t="s">
        <v>52</v>
      </c>
      <c r="G12" s="15" t="s">
        <v>56</v>
      </c>
      <c r="H12" s="15" t="s">
        <v>56</v>
      </c>
      <c r="I12" s="15" t="s">
        <v>56</v>
      </c>
    </row>
    <row r="13" spans="1:9">
      <c r="A13" s="26" t="s">
        <v>67</v>
      </c>
      <c r="B13" s="26"/>
      <c r="C13" s="26"/>
      <c r="D13" s="26"/>
      <c r="E13" s="26"/>
      <c r="F13" s="26"/>
      <c r="G13" s="26"/>
      <c r="H13" s="26"/>
      <c r="I13" s="26"/>
    </row>
  </sheetData>
  <autoFilter ref="A1:I1"/>
  <mergeCells count="1">
    <mergeCell ref="A13:I1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0" customWidth="1"/>
    <col min="2" max="2" width="14" customWidth="1"/>
    <col min="3" max="3" width="18" customWidth="1"/>
    <col min="4" max="4" width="13" customWidth="1"/>
    <col min="5" max="5" width="11" customWidth="1"/>
    <col min="6" max="7" width="26" customWidth="1"/>
    <col min="8" max="9" width="30" customWidth="1"/>
    <col min="10" max="10" width="22" customWidth="1"/>
    <col min="11" max="11" width="26" customWidth="1"/>
    <col min="12" max="12" width="10" customWidth="1"/>
    <col min="13" max="13" width="40" customWidth="1"/>
    <col min="15" max="15" width="11" customWidth="1"/>
    <col min="16" max="16" width="16" customWidth="1"/>
    <col min="17" max="17" width="20" customWidth="1"/>
  </cols>
  <sheetData>
    <row r="1" spans="1:17" ht="22.05" customHeight="1">
      <c r="A1" s="2" t="s">
        <v>68</v>
      </c>
      <c r="B1" s="2" t="s">
        <v>47</v>
      </c>
      <c r="C1" s="2" t="s">
        <v>69</v>
      </c>
      <c r="D1" s="2" t="s">
        <v>7</v>
      </c>
      <c r="E1" s="2" t="s">
        <v>70</v>
      </c>
      <c r="F1" s="2" t="s">
        <v>71</v>
      </c>
      <c r="G1" s="2" t="s">
        <v>72</v>
      </c>
      <c r="H1" s="2" t="s">
        <v>26</v>
      </c>
      <c r="I1" s="2" t="s">
        <v>73</v>
      </c>
      <c r="J1" s="2" t="s">
        <v>74</v>
      </c>
      <c r="K1" s="2" t="s">
        <v>75</v>
      </c>
      <c r="L1" s="2" t="s">
        <v>76</v>
      </c>
      <c r="M1" s="2" t="s">
        <v>45</v>
      </c>
      <c r="N1" s="2" t="s">
        <v>77</v>
      </c>
      <c r="O1" s="2" t="s">
        <v>78</v>
      </c>
      <c r="P1" s="2" t="s">
        <v>79</v>
      </c>
      <c r="Q1" s="2" t="s">
        <v>80</v>
      </c>
    </row>
    <row r="2" spans="1:17" ht="52.05" customHeight="1">
      <c r="A2" s="16" t="s">
        <v>81</v>
      </c>
      <c r="B2" s="17" t="s">
        <v>48</v>
      </c>
      <c r="C2" s="17" t="s">
        <v>82</v>
      </c>
      <c r="D2" s="16" t="s">
        <v>9</v>
      </c>
      <c r="E2" s="17" t="s">
        <v>83</v>
      </c>
      <c r="F2" s="17" t="s">
        <v>84</v>
      </c>
      <c r="G2" s="17" t="s">
        <v>85</v>
      </c>
      <c r="H2" s="17" t="s">
        <v>86</v>
      </c>
      <c r="I2" s="17" t="s">
        <v>87</v>
      </c>
      <c r="J2" s="17" t="s">
        <v>88</v>
      </c>
      <c r="K2" s="17" t="s">
        <v>89</v>
      </c>
      <c r="L2" s="17" t="s">
        <v>90</v>
      </c>
      <c r="M2" s="17" t="s">
        <v>91</v>
      </c>
      <c r="N2" s="18" t="s">
        <v>92</v>
      </c>
      <c r="O2" s="17" t="s">
        <v>93</v>
      </c>
      <c r="P2" s="17" t="s">
        <v>94</v>
      </c>
      <c r="Q2" s="17" t="s">
        <v>94</v>
      </c>
    </row>
    <row r="3" spans="1:17" ht="52.05" customHeight="1">
      <c r="A3" s="16" t="s">
        <v>95</v>
      </c>
      <c r="B3" s="17" t="s">
        <v>48</v>
      </c>
      <c r="C3" s="17" t="s">
        <v>82</v>
      </c>
      <c r="D3" s="16" t="s">
        <v>11</v>
      </c>
      <c r="E3" s="17" t="s">
        <v>83</v>
      </c>
      <c r="F3" s="17" t="s">
        <v>96</v>
      </c>
      <c r="G3" s="17" t="s">
        <v>85</v>
      </c>
      <c r="H3" s="17" t="s">
        <v>97</v>
      </c>
      <c r="I3" s="17" t="s">
        <v>98</v>
      </c>
      <c r="J3" s="17" t="s">
        <v>99</v>
      </c>
      <c r="K3" s="17" t="s">
        <v>89</v>
      </c>
      <c r="L3" s="17" t="s">
        <v>90</v>
      </c>
      <c r="M3" s="17" t="s">
        <v>100</v>
      </c>
      <c r="N3" s="18" t="s">
        <v>92</v>
      </c>
      <c r="O3" s="17" t="s">
        <v>93</v>
      </c>
      <c r="P3" s="17" t="s">
        <v>94</v>
      </c>
      <c r="Q3" s="17" t="s">
        <v>94</v>
      </c>
    </row>
    <row r="4" spans="1:17" ht="52.05" customHeight="1">
      <c r="A4" s="16" t="s">
        <v>101</v>
      </c>
      <c r="B4" s="17" t="s">
        <v>48</v>
      </c>
      <c r="C4" s="17" t="s">
        <v>102</v>
      </c>
      <c r="D4" s="16" t="s">
        <v>15</v>
      </c>
      <c r="E4" s="17" t="s">
        <v>43</v>
      </c>
      <c r="F4" s="17" t="s">
        <v>103</v>
      </c>
      <c r="G4" s="17" t="s">
        <v>85</v>
      </c>
      <c r="H4" s="17" t="s">
        <v>104</v>
      </c>
      <c r="I4" s="17" t="s">
        <v>105</v>
      </c>
      <c r="J4" s="17" t="s">
        <v>106</v>
      </c>
      <c r="K4" s="17" t="s">
        <v>89</v>
      </c>
      <c r="L4" s="17" t="s">
        <v>90</v>
      </c>
      <c r="M4" s="17" t="s">
        <v>107</v>
      </c>
      <c r="N4" s="18" t="s">
        <v>92</v>
      </c>
      <c r="O4" s="17" t="s">
        <v>93</v>
      </c>
      <c r="P4" s="17" t="s">
        <v>94</v>
      </c>
      <c r="Q4" s="17" t="s">
        <v>94</v>
      </c>
    </row>
    <row r="5" spans="1:17" ht="52.05" customHeight="1">
      <c r="A5" s="16" t="s">
        <v>108</v>
      </c>
      <c r="B5" s="17" t="s">
        <v>48</v>
      </c>
      <c r="C5" s="17" t="s">
        <v>102</v>
      </c>
      <c r="D5" s="16" t="s">
        <v>17</v>
      </c>
      <c r="E5" s="17" t="s">
        <v>43</v>
      </c>
      <c r="F5" s="17" t="s">
        <v>109</v>
      </c>
      <c r="G5" s="17" t="s">
        <v>85</v>
      </c>
      <c r="H5" s="17" t="s">
        <v>110</v>
      </c>
      <c r="I5" s="17" t="s">
        <v>111</v>
      </c>
      <c r="J5" s="17" t="s">
        <v>106</v>
      </c>
      <c r="K5" s="17" t="s">
        <v>89</v>
      </c>
      <c r="L5" s="17" t="s">
        <v>90</v>
      </c>
      <c r="M5" s="17" t="s">
        <v>112</v>
      </c>
      <c r="N5" s="18" t="s">
        <v>92</v>
      </c>
      <c r="O5" s="17" t="s">
        <v>93</v>
      </c>
      <c r="P5" s="17" t="s">
        <v>94</v>
      </c>
      <c r="Q5" s="17" t="s">
        <v>94</v>
      </c>
    </row>
    <row r="6" spans="1:17" ht="52.05" customHeight="1">
      <c r="A6" s="16" t="s">
        <v>113</v>
      </c>
      <c r="B6" s="17" t="s">
        <v>48</v>
      </c>
      <c r="C6" s="17" t="s">
        <v>114</v>
      </c>
      <c r="D6" s="16" t="s">
        <v>19</v>
      </c>
      <c r="E6" s="17" t="s">
        <v>83</v>
      </c>
      <c r="F6" s="17" t="s">
        <v>115</v>
      </c>
      <c r="G6" s="17" t="s">
        <v>85</v>
      </c>
      <c r="H6" s="17" t="s">
        <v>116</v>
      </c>
      <c r="I6" s="17" t="s">
        <v>117</v>
      </c>
      <c r="J6" s="17" t="s">
        <v>118</v>
      </c>
      <c r="K6" s="17" t="s">
        <v>89</v>
      </c>
      <c r="L6" s="17" t="s">
        <v>90</v>
      </c>
      <c r="M6" s="17" t="s">
        <v>119</v>
      </c>
      <c r="N6" s="18" t="s">
        <v>92</v>
      </c>
      <c r="O6" s="17" t="s">
        <v>93</v>
      </c>
      <c r="P6" s="17" t="s">
        <v>94</v>
      </c>
      <c r="Q6" s="17" t="s">
        <v>94</v>
      </c>
    </row>
    <row r="7" spans="1:17" ht="52.05" customHeight="1">
      <c r="A7" s="16" t="s">
        <v>120</v>
      </c>
      <c r="B7" s="17" t="s">
        <v>48</v>
      </c>
      <c r="C7" s="17" t="s">
        <v>114</v>
      </c>
      <c r="D7" s="16" t="s">
        <v>21</v>
      </c>
      <c r="E7" s="17" t="s">
        <v>83</v>
      </c>
      <c r="F7" s="17" t="s">
        <v>121</v>
      </c>
      <c r="G7" s="17" t="s">
        <v>85</v>
      </c>
      <c r="H7" s="17" t="s">
        <v>122</v>
      </c>
      <c r="I7" s="17" t="s">
        <v>123</v>
      </c>
      <c r="J7" s="17" t="s">
        <v>106</v>
      </c>
      <c r="K7" s="17" t="s">
        <v>89</v>
      </c>
      <c r="L7" s="17" t="s">
        <v>90</v>
      </c>
      <c r="M7" s="17" t="s">
        <v>124</v>
      </c>
      <c r="N7" s="19" t="s">
        <v>125</v>
      </c>
      <c r="O7" s="17" t="s">
        <v>93</v>
      </c>
      <c r="P7" s="17" t="s">
        <v>94</v>
      </c>
      <c r="Q7" s="17" t="s">
        <v>94</v>
      </c>
    </row>
    <row r="8" spans="1:17" ht="52.05" customHeight="1">
      <c r="A8" s="16" t="s">
        <v>126</v>
      </c>
      <c r="B8" s="17" t="s">
        <v>48</v>
      </c>
      <c r="C8" s="17" t="s">
        <v>127</v>
      </c>
      <c r="D8" s="16" t="s">
        <v>13</v>
      </c>
      <c r="E8" s="17" t="s">
        <v>83</v>
      </c>
      <c r="F8" s="17" t="s">
        <v>128</v>
      </c>
      <c r="G8" s="17" t="s">
        <v>85</v>
      </c>
      <c r="H8" s="17" t="s">
        <v>129</v>
      </c>
      <c r="I8" s="17" t="s">
        <v>130</v>
      </c>
      <c r="J8" s="17" t="s">
        <v>131</v>
      </c>
      <c r="K8" s="17" t="s">
        <v>89</v>
      </c>
      <c r="L8" s="17" t="s">
        <v>90</v>
      </c>
      <c r="M8" s="17" t="s">
        <v>132</v>
      </c>
      <c r="N8" s="19" t="s">
        <v>125</v>
      </c>
      <c r="O8" s="17" t="s">
        <v>93</v>
      </c>
      <c r="P8" s="17" t="s">
        <v>94</v>
      </c>
      <c r="Q8" s="17" t="s">
        <v>94</v>
      </c>
    </row>
    <row r="9" spans="1:17" ht="52.05" customHeight="1">
      <c r="A9" s="16" t="s">
        <v>133</v>
      </c>
      <c r="B9" s="17" t="s">
        <v>48</v>
      </c>
      <c r="C9" s="17" t="s">
        <v>114</v>
      </c>
      <c r="D9" s="16" t="s">
        <v>23</v>
      </c>
      <c r="E9" s="17" t="s">
        <v>83</v>
      </c>
      <c r="F9" s="17" t="s">
        <v>134</v>
      </c>
      <c r="G9" s="17" t="s">
        <v>85</v>
      </c>
      <c r="H9" s="17" t="s">
        <v>135</v>
      </c>
      <c r="I9" s="17" t="s">
        <v>136</v>
      </c>
      <c r="J9" s="17" t="s">
        <v>106</v>
      </c>
      <c r="K9" s="17" t="s">
        <v>89</v>
      </c>
      <c r="L9" s="17" t="s">
        <v>90</v>
      </c>
      <c r="M9" s="17" t="s">
        <v>137</v>
      </c>
      <c r="N9" s="19" t="s">
        <v>125</v>
      </c>
      <c r="O9" s="17" t="s">
        <v>93</v>
      </c>
      <c r="P9" s="17" t="s">
        <v>94</v>
      </c>
      <c r="Q9" s="17" t="s">
        <v>94</v>
      </c>
    </row>
    <row r="10" spans="1:17" ht="52.05" customHeight="1">
      <c r="A10" s="16" t="s">
        <v>138</v>
      </c>
      <c r="B10" s="17" t="s">
        <v>48</v>
      </c>
      <c r="C10" s="17" t="s">
        <v>139</v>
      </c>
      <c r="D10" s="16" t="s">
        <v>19</v>
      </c>
      <c r="E10" s="17" t="s">
        <v>41</v>
      </c>
      <c r="F10" s="17" t="s">
        <v>140</v>
      </c>
      <c r="G10" s="17" t="s">
        <v>141</v>
      </c>
      <c r="H10" s="17" t="s">
        <v>142</v>
      </c>
      <c r="I10" s="17" t="s">
        <v>143</v>
      </c>
      <c r="J10" s="17" t="s">
        <v>144</v>
      </c>
      <c r="K10" s="17" t="s">
        <v>89</v>
      </c>
      <c r="L10" s="20" t="s">
        <v>145</v>
      </c>
      <c r="M10" s="17" t="s">
        <v>146</v>
      </c>
      <c r="N10" s="18" t="s">
        <v>92</v>
      </c>
      <c r="O10" s="17" t="s">
        <v>93</v>
      </c>
      <c r="P10" s="17" t="s">
        <v>94</v>
      </c>
      <c r="Q10" s="17" t="s">
        <v>94</v>
      </c>
    </row>
    <row r="11" spans="1:17" ht="52.05" customHeight="1">
      <c r="A11" s="16" t="s">
        <v>147</v>
      </c>
      <c r="B11" s="17" t="s">
        <v>48</v>
      </c>
      <c r="C11" s="17" t="s">
        <v>148</v>
      </c>
      <c r="D11" s="16" t="s">
        <v>15</v>
      </c>
      <c r="E11" s="17" t="s">
        <v>43</v>
      </c>
      <c r="F11" s="17" t="s">
        <v>149</v>
      </c>
      <c r="G11" s="17" t="s">
        <v>141</v>
      </c>
      <c r="H11" s="17" t="s">
        <v>150</v>
      </c>
      <c r="I11" s="17" t="s">
        <v>151</v>
      </c>
      <c r="J11" s="17" t="s">
        <v>152</v>
      </c>
      <c r="K11" s="17" t="s">
        <v>89</v>
      </c>
      <c r="L11" s="17" t="s">
        <v>90</v>
      </c>
      <c r="M11" s="17" t="s">
        <v>153</v>
      </c>
      <c r="N11" s="19" t="s">
        <v>125</v>
      </c>
      <c r="O11" s="17" t="s">
        <v>93</v>
      </c>
      <c r="P11" s="17" t="s">
        <v>94</v>
      </c>
      <c r="Q11" s="17" t="s">
        <v>94</v>
      </c>
    </row>
    <row r="12" spans="1:17" ht="52.05" customHeight="1">
      <c r="A12" s="16" t="s">
        <v>154</v>
      </c>
      <c r="B12" s="17" t="s">
        <v>54</v>
      </c>
      <c r="C12" s="17" t="s">
        <v>155</v>
      </c>
      <c r="D12" s="16" t="s">
        <v>9</v>
      </c>
      <c r="E12" s="17" t="s">
        <v>83</v>
      </c>
      <c r="F12" s="17" t="s">
        <v>156</v>
      </c>
      <c r="G12" s="17" t="s">
        <v>157</v>
      </c>
      <c r="H12" s="17" t="s">
        <v>158</v>
      </c>
      <c r="I12" s="17" t="s">
        <v>159</v>
      </c>
      <c r="J12" s="17" t="s">
        <v>160</v>
      </c>
      <c r="K12" s="17" t="s">
        <v>89</v>
      </c>
      <c r="L12" s="17" t="s">
        <v>90</v>
      </c>
      <c r="M12" s="17" t="s">
        <v>161</v>
      </c>
      <c r="N12" s="18" t="s">
        <v>92</v>
      </c>
      <c r="O12" s="17" t="s">
        <v>93</v>
      </c>
      <c r="P12" s="17" t="s">
        <v>94</v>
      </c>
      <c r="Q12" s="17" t="s">
        <v>94</v>
      </c>
    </row>
    <row r="13" spans="1:17" ht="52.05" customHeight="1">
      <c r="A13" s="16" t="s">
        <v>162</v>
      </c>
      <c r="B13" s="17" t="s">
        <v>54</v>
      </c>
      <c r="C13" s="17" t="s">
        <v>155</v>
      </c>
      <c r="D13" s="16" t="s">
        <v>11</v>
      </c>
      <c r="E13" s="17" t="s">
        <v>83</v>
      </c>
      <c r="F13" s="17" t="s">
        <v>163</v>
      </c>
      <c r="G13" s="17" t="s">
        <v>157</v>
      </c>
      <c r="H13" s="17" t="s">
        <v>164</v>
      </c>
      <c r="I13" s="17" t="s">
        <v>165</v>
      </c>
      <c r="J13" s="17" t="s">
        <v>160</v>
      </c>
      <c r="K13" s="17" t="s">
        <v>89</v>
      </c>
      <c r="L13" s="17" t="s">
        <v>90</v>
      </c>
      <c r="M13" s="17" t="s">
        <v>161</v>
      </c>
      <c r="N13" s="18" t="s">
        <v>92</v>
      </c>
      <c r="O13" s="17" t="s">
        <v>93</v>
      </c>
      <c r="P13" s="17" t="s">
        <v>94</v>
      </c>
      <c r="Q13" s="17" t="s">
        <v>94</v>
      </c>
    </row>
    <row r="14" spans="1:17" ht="52.05" customHeight="1">
      <c r="A14" s="16" t="s">
        <v>166</v>
      </c>
      <c r="B14" s="17" t="s">
        <v>54</v>
      </c>
      <c r="C14" s="17" t="s">
        <v>155</v>
      </c>
      <c r="D14" s="16" t="s">
        <v>13</v>
      </c>
      <c r="E14" s="17" t="s">
        <v>83</v>
      </c>
      <c r="F14" s="17" t="s">
        <v>163</v>
      </c>
      <c r="G14" s="17" t="s">
        <v>157</v>
      </c>
      <c r="H14" s="17" t="s">
        <v>167</v>
      </c>
      <c r="I14" s="17" t="s">
        <v>168</v>
      </c>
      <c r="J14" s="17" t="s">
        <v>169</v>
      </c>
      <c r="K14" s="17" t="s">
        <v>89</v>
      </c>
      <c r="L14" s="17" t="s">
        <v>90</v>
      </c>
      <c r="M14" s="17" t="s">
        <v>170</v>
      </c>
      <c r="N14" s="18" t="s">
        <v>92</v>
      </c>
      <c r="O14" s="17" t="s">
        <v>93</v>
      </c>
      <c r="P14" s="17" t="s">
        <v>94</v>
      </c>
      <c r="Q14" s="17" t="s">
        <v>94</v>
      </c>
    </row>
    <row r="15" spans="1:17" ht="52.05" customHeight="1">
      <c r="A15" s="16" t="s">
        <v>171</v>
      </c>
      <c r="B15" s="17" t="s">
        <v>54</v>
      </c>
      <c r="C15" s="17" t="s">
        <v>155</v>
      </c>
      <c r="D15" s="16" t="s">
        <v>15</v>
      </c>
      <c r="E15" s="17" t="s">
        <v>43</v>
      </c>
      <c r="F15" s="17" t="s">
        <v>172</v>
      </c>
      <c r="G15" s="17" t="s">
        <v>173</v>
      </c>
      <c r="H15" s="17" t="s">
        <v>174</v>
      </c>
      <c r="I15" s="17" t="s">
        <v>175</v>
      </c>
      <c r="J15" s="17" t="s">
        <v>176</v>
      </c>
      <c r="K15" s="17" t="s">
        <v>89</v>
      </c>
      <c r="L15" s="17" t="s">
        <v>90</v>
      </c>
      <c r="M15" s="17" t="s">
        <v>177</v>
      </c>
      <c r="N15" s="18" t="s">
        <v>92</v>
      </c>
      <c r="O15" s="17" t="s">
        <v>93</v>
      </c>
      <c r="P15" s="17" t="s">
        <v>94</v>
      </c>
      <c r="Q15" s="17" t="s">
        <v>94</v>
      </c>
    </row>
    <row r="16" spans="1:17" ht="52.05" customHeight="1">
      <c r="A16" s="16" t="s">
        <v>178</v>
      </c>
      <c r="B16" s="17" t="s">
        <v>54</v>
      </c>
      <c r="C16" s="17" t="s">
        <v>155</v>
      </c>
      <c r="D16" s="16" t="s">
        <v>17</v>
      </c>
      <c r="E16" s="17" t="s">
        <v>43</v>
      </c>
      <c r="F16" s="17" t="s">
        <v>179</v>
      </c>
      <c r="G16" s="17" t="s">
        <v>173</v>
      </c>
      <c r="H16" s="17" t="s">
        <v>180</v>
      </c>
      <c r="I16" s="17" t="s">
        <v>181</v>
      </c>
      <c r="J16" s="17" t="s">
        <v>182</v>
      </c>
      <c r="K16" s="17" t="s">
        <v>89</v>
      </c>
      <c r="L16" s="17" t="s">
        <v>90</v>
      </c>
      <c r="M16" s="17" t="s">
        <v>177</v>
      </c>
      <c r="N16" s="18" t="s">
        <v>92</v>
      </c>
      <c r="O16" s="17" t="s">
        <v>93</v>
      </c>
      <c r="P16" s="17" t="s">
        <v>94</v>
      </c>
      <c r="Q16" s="17" t="s">
        <v>94</v>
      </c>
    </row>
    <row r="17" spans="1:17" ht="52.05" customHeight="1">
      <c r="A17" s="16" t="s">
        <v>183</v>
      </c>
      <c r="B17" s="17" t="s">
        <v>54</v>
      </c>
      <c r="C17" s="17" t="s">
        <v>155</v>
      </c>
      <c r="D17" s="16" t="s">
        <v>19</v>
      </c>
      <c r="E17" s="17" t="s">
        <v>43</v>
      </c>
      <c r="F17" s="17" t="s">
        <v>179</v>
      </c>
      <c r="G17" s="17" t="s">
        <v>173</v>
      </c>
      <c r="H17" s="17" t="s">
        <v>184</v>
      </c>
      <c r="I17" s="17" t="s">
        <v>185</v>
      </c>
      <c r="J17" s="17" t="s">
        <v>182</v>
      </c>
      <c r="K17" s="17" t="s">
        <v>89</v>
      </c>
      <c r="L17" s="17" t="s">
        <v>90</v>
      </c>
      <c r="M17" s="17" t="s">
        <v>177</v>
      </c>
      <c r="N17" s="19" t="s">
        <v>125</v>
      </c>
      <c r="O17" s="17" t="s">
        <v>93</v>
      </c>
      <c r="P17" s="17" t="s">
        <v>94</v>
      </c>
      <c r="Q17" s="17" t="s">
        <v>94</v>
      </c>
    </row>
    <row r="18" spans="1:17" ht="52.05" customHeight="1">
      <c r="A18" s="16" t="s">
        <v>186</v>
      </c>
      <c r="B18" s="17" t="s">
        <v>54</v>
      </c>
      <c r="C18" s="17" t="s">
        <v>155</v>
      </c>
      <c r="D18" s="16" t="s">
        <v>21</v>
      </c>
      <c r="E18" s="17" t="s">
        <v>41</v>
      </c>
      <c r="F18" s="17" t="s">
        <v>140</v>
      </c>
      <c r="G18" s="17" t="s">
        <v>173</v>
      </c>
      <c r="H18" s="17" t="s">
        <v>187</v>
      </c>
      <c r="I18" s="17" t="s">
        <v>188</v>
      </c>
      <c r="J18" s="17" t="s">
        <v>189</v>
      </c>
      <c r="K18" s="17" t="s">
        <v>89</v>
      </c>
      <c r="L18" s="20" t="s">
        <v>145</v>
      </c>
      <c r="M18" s="17" t="s">
        <v>190</v>
      </c>
      <c r="N18" s="18" t="s">
        <v>92</v>
      </c>
      <c r="O18" s="17" t="s">
        <v>93</v>
      </c>
      <c r="P18" s="17" t="s">
        <v>94</v>
      </c>
      <c r="Q18" s="17" t="s">
        <v>94</v>
      </c>
    </row>
    <row r="19" spans="1:17" ht="52.05" customHeight="1">
      <c r="A19" s="16" t="s">
        <v>191</v>
      </c>
      <c r="B19" s="17" t="s">
        <v>54</v>
      </c>
      <c r="C19" s="17" t="s">
        <v>155</v>
      </c>
      <c r="D19" s="16" t="s">
        <v>23</v>
      </c>
      <c r="E19" s="17" t="s">
        <v>41</v>
      </c>
      <c r="F19" s="17" t="s">
        <v>140</v>
      </c>
      <c r="G19" s="17" t="s">
        <v>173</v>
      </c>
      <c r="H19" s="17" t="s">
        <v>192</v>
      </c>
      <c r="I19" s="17" t="s">
        <v>193</v>
      </c>
      <c r="J19" s="17" t="s">
        <v>189</v>
      </c>
      <c r="K19" s="17" t="s">
        <v>89</v>
      </c>
      <c r="L19" s="20" t="s">
        <v>145</v>
      </c>
      <c r="M19" s="17" t="s">
        <v>190</v>
      </c>
      <c r="N19" s="18" t="s">
        <v>92</v>
      </c>
      <c r="O19" s="17" t="s">
        <v>93</v>
      </c>
      <c r="P19" s="17" t="s">
        <v>94</v>
      </c>
      <c r="Q19" s="17" t="s">
        <v>94</v>
      </c>
    </row>
    <row r="20" spans="1:17" ht="52.05" customHeight="1">
      <c r="A20" s="16" t="s">
        <v>194</v>
      </c>
      <c r="B20" s="17" t="s">
        <v>54</v>
      </c>
      <c r="C20" s="17" t="s">
        <v>195</v>
      </c>
      <c r="D20" s="16" t="s">
        <v>15</v>
      </c>
      <c r="E20" s="17" t="s">
        <v>41</v>
      </c>
      <c r="F20" s="17" t="s">
        <v>140</v>
      </c>
      <c r="G20" s="17" t="s">
        <v>196</v>
      </c>
      <c r="H20" s="17" t="s">
        <v>197</v>
      </c>
      <c r="I20" s="17" t="s">
        <v>198</v>
      </c>
      <c r="J20" s="17" t="s">
        <v>189</v>
      </c>
      <c r="K20" s="17" t="s">
        <v>199</v>
      </c>
      <c r="L20" s="20" t="s">
        <v>145</v>
      </c>
      <c r="M20" s="17" t="s">
        <v>200</v>
      </c>
      <c r="N20" s="18" t="s">
        <v>92</v>
      </c>
      <c r="O20" s="17" t="s">
        <v>93</v>
      </c>
      <c r="P20" s="17" t="s">
        <v>94</v>
      </c>
      <c r="Q20" s="17" t="s">
        <v>94</v>
      </c>
    </row>
    <row r="21" spans="1:17" ht="52.05" customHeight="1">
      <c r="A21" s="16" t="s">
        <v>201</v>
      </c>
      <c r="B21" s="17" t="s">
        <v>54</v>
      </c>
      <c r="C21" s="17" t="s">
        <v>202</v>
      </c>
      <c r="D21" s="16" t="s">
        <v>11</v>
      </c>
      <c r="E21" s="17" t="s">
        <v>41</v>
      </c>
      <c r="F21" s="17" t="s">
        <v>140</v>
      </c>
      <c r="G21" s="17" t="s">
        <v>203</v>
      </c>
      <c r="H21" s="17" t="s">
        <v>204</v>
      </c>
      <c r="I21" s="17" t="s">
        <v>205</v>
      </c>
      <c r="J21" s="17" t="s">
        <v>206</v>
      </c>
      <c r="K21" s="17" t="s">
        <v>199</v>
      </c>
      <c r="L21" s="20" t="s">
        <v>145</v>
      </c>
      <c r="M21" s="17" t="s">
        <v>207</v>
      </c>
      <c r="N21" s="18" t="s">
        <v>92</v>
      </c>
      <c r="O21" s="17" t="s">
        <v>93</v>
      </c>
      <c r="P21" s="17" t="s">
        <v>94</v>
      </c>
      <c r="Q21" s="17" t="s">
        <v>94</v>
      </c>
    </row>
    <row r="22" spans="1:17" ht="52.05" customHeight="1">
      <c r="A22" s="16" t="s">
        <v>208</v>
      </c>
      <c r="B22" s="17" t="s">
        <v>57</v>
      </c>
      <c r="C22" s="17" t="s">
        <v>209</v>
      </c>
      <c r="D22" s="16" t="s">
        <v>9</v>
      </c>
      <c r="E22" s="17" t="s">
        <v>83</v>
      </c>
      <c r="F22" s="17" t="s">
        <v>210</v>
      </c>
      <c r="G22" s="17" t="s">
        <v>211</v>
      </c>
      <c r="H22" s="17" t="s">
        <v>212</v>
      </c>
      <c r="I22" s="17" t="s">
        <v>213</v>
      </c>
      <c r="J22" s="17" t="s">
        <v>214</v>
      </c>
      <c r="K22" s="17" t="s">
        <v>215</v>
      </c>
      <c r="L22" s="17" t="s">
        <v>90</v>
      </c>
      <c r="M22" s="17" t="s">
        <v>216</v>
      </c>
      <c r="N22" s="18" t="s">
        <v>92</v>
      </c>
      <c r="O22" s="17" t="s">
        <v>93</v>
      </c>
      <c r="P22" s="17" t="s">
        <v>94</v>
      </c>
      <c r="Q22" s="17" t="s">
        <v>94</v>
      </c>
    </row>
    <row r="23" spans="1:17" ht="52.05" customHeight="1">
      <c r="A23" s="16" t="s">
        <v>217</v>
      </c>
      <c r="B23" s="17" t="s">
        <v>57</v>
      </c>
      <c r="C23" s="17" t="s">
        <v>209</v>
      </c>
      <c r="D23" s="16" t="s">
        <v>11</v>
      </c>
      <c r="E23" s="17" t="s">
        <v>83</v>
      </c>
      <c r="F23" s="17" t="s">
        <v>218</v>
      </c>
      <c r="G23" s="17" t="s">
        <v>219</v>
      </c>
      <c r="H23" s="17" t="s">
        <v>220</v>
      </c>
      <c r="I23" s="17" t="s">
        <v>221</v>
      </c>
      <c r="J23" s="17" t="s">
        <v>152</v>
      </c>
      <c r="K23" s="17" t="s">
        <v>89</v>
      </c>
      <c r="L23" s="17" t="s">
        <v>90</v>
      </c>
      <c r="M23" s="17" t="s">
        <v>222</v>
      </c>
      <c r="N23" s="18" t="s">
        <v>92</v>
      </c>
      <c r="O23" s="17" t="s">
        <v>93</v>
      </c>
      <c r="P23" s="17" t="s">
        <v>94</v>
      </c>
      <c r="Q23" s="17" t="s">
        <v>94</v>
      </c>
    </row>
    <row r="24" spans="1:17" ht="52.05" customHeight="1">
      <c r="A24" s="16" t="s">
        <v>223</v>
      </c>
      <c r="B24" s="17" t="s">
        <v>57</v>
      </c>
      <c r="C24" s="17" t="s">
        <v>209</v>
      </c>
      <c r="D24" s="16" t="s">
        <v>15</v>
      </c>
      <c r="E24" s="17" t="s">
        <v>43</v>
      </c>
      <c r="F24" s="17" t="s">
        <v>224</v>
      </c>
      <c r="G24" s="17" t="s">
        <v>219</v>
      </c>
      <c r="H24" s="17" t="s">
        <v>225</v>
      </c>
      <c r="I24" s="17" t="s">
        <v>226</v>
      </c>
      <c r="J24" s="17" t="s">
        <v>227</v>
      </c>
      <c r="K24" s="17" t="s">
        <v>89</v>
      </c>
      <c r="L24" s="17" t="s">
        <v>90</v>
      </c>
      <c r="M24" s="17" t="s">
        <v>228</v>
      </c>
      <c r="N24" s="18" t="s">
        <v>92</v>
      </c>
      <c r="O24" s="17" t="s">
        <v>93</v>
      </c>
      <c r="P24" s="17" t="s">
        <v>94</v>
      </c>
      <c r="Q24" s="17" t="s">
        <v>94</v>
      </c>
    </row>
    <row r="25" spans="1:17" ht="52.05" customHeight="1">
      <c r="A25" s="16" t="s">
        <v>229</v>
      </c>
      <c r="B25" s="17" t="s">
        <v>57</v>
      </c>
      <c r="C25" s="17" t="s">
        <v>209</v>
      </c>
      <c r="D25" s="16" t="s">
        <v>17</v>
      </c>
      <c r="E25" s="17" t="s">
        <v>43</v>
      </c>
      <c r="F25" s="17" t="s">
        <v>230</v>
      </c>
      <c r="G25" s="17" t="s">
        <v>219</v>
      </c>
      <c r="H25" s="17" t="s">
        <v>231</v>
      </c>
      <c r="I25" s="17" t="s">
        <v>232</v>
      </c>
      <c r="J25" s="17" t="s">
        <v>227</v>
      </c>
      <c r="K25" s="17" t="s">
        <v>89</v>
      </c>
      <c r="L25" s="17" t="s">
        <v>90</v>
      </c>
      <c r="M25" s="17" t="s">
        <v>228</v>
      </c>
      <c r="N25" s="18" t="s">
        <v>92</v>
      </c>
      <c r="O25" s="17" t="s">
        <v>93</v>
      </c>
      <c r="P25" s="17" t="s">
        <v>94</v>
      </c>
      <c r="Q25" s="17" t="s">
        <v>94</v>
      </c>
    </row>
    <row r="26" spans="1:17" ht="52.05" customHeight="1">
      <c r="A26" s="16" t="s">
        <v>233</v>
      </c>
      <c r="B26" s="17" t="s">
        <v>57</v>
      </c>
      <c r="C26" s="17" t="s">
        <v>209</v>
      </c>
      <c r="D26" s="16" t="s">
        <v>19</v>
      </c>
      <c r="E26" s="17" t="s">
        <v>43</v>
      </c>
      <c r="F26" s="17" t="s">
        <v>234</v>
      </c>
      <c r="G26" s="17" t="s">
        <v>219</v>
      </c>
      <c r="H26" s="17" t="s">
        <v>235</v>
      </c>
      <c r="I26" s="17" t="s">
        <v>236</v>
      </c>
      <c r="J26" s="17" t="s">
        <v>237</v>
      </c>
      <c r="K26" s="17" t="s">
        <v>89</v>
      </c>
      <c r="L26" s="17" t="s">
        <v>90</v>
      </c>
      <c r="M26" s="17" t="s">
        <v>238</v>
      </c>
      <c r="N26" s="18" t="s">
        <v>92</v>
      </c>
      <c r="O26" s="17" t="s">
        <v>93</v>
      </c>
      <c r="P26" s="17" t="s">
        <v>94</v>
      </c>
      <c r="Q26" s="17" t="s">
        <v>94</v>
      </c>
    </row>
    <row r="27" spans="1:17" ht="52.05" customHeight="1">
      <c r="A27" s="16" t="s">
        <v>239</v>
      </c>
      <c r="B27" s="17" t="s">
        <v>57</v>
      </c>
      <c r="C27" s="17" t="s">
        <v>209</v>
      </c>
      <c r="D27" s="16" t="s">
        <v>21</v>
      </c>
      <c r="E27" s="17" t="s">
        <v>43</v>
      </c>
      <c r="F27" s="17" t="s">
        <v>234</v>
      </c>
      <c r="G27" s="17" t="s">
        <v>219</v>
      </c>
      <c r="H27" s="17" t="s">
        <v>240</v>
      </c>
      <c r="I27" s="17" t="s">
        <v>236</v>
      </c>
      <c r="J27" s="17" t="s">
        <v>237</v>
      </c>
      <c r="K27" s="17" t="s">
        <v>89</v>
      </c>
      <c r="L27" s="17" t="s">
        <v>90</v>
      </c>
      <c r="M27" s="17" t="s">
        <v>238</v>
      </c>
      <c r="N27" s="19" t="s">
        <v>125</v>
      </c>
      <c r="O27" s="17" t="s">
        <v>93</v>
      </c>
      <c r="P27" s="17" t="s">
        <v>94</v>
      </c>
      <c r="Q27" s="17" t="s">
        <v>94</v>
      </c>
    </row>
    <row r="28" spans="1:17" ht="52.05" customHeight="1">
      <c r="A28" s="16" t="s">
        <v>241</v>
      </c>
      <c r="B28" s="17" t="s">
        <v>57</v>
      </c>
      <c r="C28" s="17" t="s">
        <v>209</v>
      </c>
      <c r="D28" s="16" t="s">
        <v>13</v>
      </c>
      <c r="E28" s="17" t="s">
        <v>43</v>
      </c>
      <c r="F28" s="17" t="s">
        <v>234</v>
      </c>
      <c r="G28" s="17" t="s">
        <v>219</v>
      </c>
      <c r="H28" s="17" t="s">
        <v>242</v>
      </c>
      <c r="I28" s="17" t="s">
        <v>236</v>
      </c>
      <c r="J28" s="17" t="s">
        <v>237</v>
      </c>
      <c r="K28" s="17" t="s">
        <v>89</v>
      </c>
      <c r="L28" s="17" t="s">
        <v>90</v>
      </c>
      <c r="M28" s="17" t="s">
        <v>238</v>
      </c>
      <c r="N28" s="19" t="s">
        <v>125</v>
      </c>
      <c r="O28" s="17" t="s">
        <v>93</v>
      </c>
      <c r="P28" s="17" t="s">
        <v>94</v>
      </c>
      <c r="Q28" s="17" t="s">
        <v>94</v>
      </c>
    </row>
    <row r="29" spans="1:17" ht="52.05" customHeight="1">
      <c r="A29" s="16" t="s">
        <v>243</v>
      </c>
      <c r="B29" s="17" t="s">
        <v>57</v>
      </c>
      <c r="C29" s="17" t="s">
        <v>209</v>
      </c>
      <c r="D29" s="16" t="s">
        <v>23</v>
      </c>
      <c r="E29" s="17" t="s">
        <v>43</v>
      </c>
      <c r="F29" s="17" t="s">
        <v>234</v>
      </c>
      <c r="G29" s="17" t="s">
        <v>219</v>
      </c>
      <c r="H29" s="17" t="s">
        <v>244</v>
      </c>
      <c r="I29" s="17" t="s">
        <v>236</v>
      </c>
      <c r="J29" s="17" t="s">
        <v>237</v>
      </c>
      <c r="K29" s="17" t="s">
        <v>89</v>
      </c>
      <c r="L29" s="17" t="s">
        <v>90</v>
      </c>
      <c r="M29" s="17" t="s">
        <v>238</v>
      </c>
      <c r="N29" s="19" t="s">
        <v>125</v>
      </c>
      <c r="O29" s="17" t="s">
        <v>93</v>
      </c>
      <c r="P29" s="17" t="s">
        <v>94</v>
      </c>
      <c r="Q29" s="17" t="s">
        <v>94</v>
      </c>
    </row>
    <row r="30" spans="1:17" ht="52.05" customHeight="1">
      <c r="A30" s="16" t="s">
        <v>245</v>
      </c>
      <c r="B30" s="17" t="s">
        <v>57</v>
      </c>
      <c r="C30" s="17" t="s">
        <v>246</v>
      </c>
      <c r="D30" s="16" t="s">
        <v>9</v>
      </c>
      <c r="E30" s="17" t="s">
        <v>247</v>
      </c>
      <c r="F30" s="17" t="s">
        <v>248</v>
      </c>
      <c r="G30" s="17" t="s">
        <v>249</v>
      </c>
      <c r="H30" s="17" t="s">
        <v>250</v>
      </c>
      <c r="I30" s="17" t="s">
        <v>251</v>
      </c>
      <c r="J30" s="17" t="s">
        <v>252</v>
      </c>
      <c r="K30" s="17" t="s">
        <v>253</v>
      </c>
      <c r="L30" s="17" t="s">
        <v>90</v>
      </c>
      <c r="M30" s="17" t="s">
        <v>254</v>
      </c>
      <c r="N30" s="18" t="s">
        <v>92</v>
      </c>
      <c r="O30" s="17" t="s">
        <v>93</v>
      </c>
      <c r="P30" s="17" t="s">
        <v>94</v>
      </c>
      <c r="Q30" s="17" t="s">
        <v>94</v>
      </c>
    </row>
    <row r="31" spans="1:17" ht="52.05" customHeight="1">
      <c r="A31" s="16" t="s">
        <v>255</v>
      </c>
      <c r="B31" s="17" t="s">
        <v>57</v>
      </c>
      <c r="C31" s="17" t="s">
        <v>256</v>
      </c>
      <c r="D31" s="16" t="s">
        <v>9</v>
      </c>
      <c r="E31" s="17" t="s">
        <v>247</v>
      </c>
      <c r="F31" s="17" t="s">
        <v>257</v>
      </c>
      <c r="G31" s="17" t="s">
        <v>249</v>
      </c>
      <c r="H31" s="17" t="s">
        <v>258</v>
      </c>
      <c r="I31" s="17" t="s">
        <v>259</v>
      </c>
      <c r="J31" s="17" t="s">
        <v>260</v>
      </c>
      <c r="K31" s="17" t="s">
        <v>261</v>
      </c>
      <c r="L31" s="17" t="s">
        <v>90</v>
      </c>
      <c r="M31" s="17" t="s">
        <v>262</v>
      </c>
      <c r="N31" s="18" t="s">
        <v>92</v>
      </c>
      <c r="O31" s="17" t="s">
        <v>93</v>
      </c>
      <c r="P31" s="17" t="s">
        <v>94</v>
      </c>
      <c r="Q31" s="17" t="s">
        <v>94</v>
      </c>
    </row>
    <row r="32" spans="1:17" ht="52.05" customHeight="1">
      <c r="A32" s="16" t="s">
        <v>263</v>
      </c>
      <c r="B32" s="17" t="s">
        <v>57</v>
      </c>
      <c r="C32" s="17" t="s">
        <v>264</v>
      </c>
      <c r="D32" s="16" t="s">
        <v>11</v>
      </c>
      <c r="E32" s="17" t="s">
        <v>247</v>
      </c>
      <c r="F32" s="17" t="s">
        <v>265</v>
      </c>
      <c r="G32" s="17" t="s">
        <v>219</v>
      </c>
      <c r="H32" s="17" t="s">
        <v>266</v>
      </c>
      <c r="I32" s="17" t="s">
        <v>267</v>
      </c>
      <c r="J32" s="17" t="s">
        <v>268</v>
      </c>
      <c r="K32" s="17" t="s">
        <v>269</v>
      </c>
      <c r="L32" s="17" t="s">
        <v>90</v>
      </c>
      <c r="M32" s="17" t="s">
        <v>270</v>
      </c>
      <c r="N32" s="18" t="s">
        <v>92</v>
      </c>
      <c r="O32" s="17" t="s">
        <v>93</v>
      </c>
      <c r="P32" s="17" t="s">
        <v>94</v>
      </c>
      <c r="Q32" s="17" t="s">
        <v>94</v>
      </c>
    </row>
    <row r="33" spans="1:17" ht="52.05" customHeight="1">
      <c r="A33" s="16" t="s">
        <v>271</v>
      </c>
      <c r="B33" s="17" t="s">
        <v>57</v>
      </c>
      <c r="C33" s="17" t="s">
        <v>272</v>
      </c>
      <c r="D33" s="16" t="s">
        <v>11</v>
      </c>
      <c r="E33" s="17" t="s">
        <v>43</v>
      </c>
      <c r="F33" s="17" t="s">
        <v>273</v>
      </c>
      <c r="G33" s="17" t="s">
        <v>274</v>
      </c>
      <c r="H33" s="17" t="s">
        <v>275</v>
      </c>
      <c r="I33" s="17" t="s">
        <v>276</v>
      </c>
      <c r="J33" s="17" t="s">
        <v>277</v>
      </c>
      <c r="K33" s="17" t="s">
        <v>89</v>
      </c>
      <c r="L33" s="17" t="s">
        <v>90</v>
      </c>
      <c r="M33" s="17" t="s">
        <v>278</v>
      </c>
      <c r="N33" s="19" t="s">
        <v>125</v>
      </c>
      <c r="O33" s="17" t="s">
        <v>93</v>
      </c>
      <c r="P33" s="17" t="s">
        <v>94</v>
      </c>
      <c r="Q33" s="17" t="s">
        <v>94</v>
      </c>
    </row>
    <row r="34" spans="1:17" ht="52.05" customHeight="1">
      <c r="A34" s="16" t="s">
        <v>279</v>
      </c>
      <c r="B34" s="17" t="s">
        <v>58</v>
      </c>
      <c r="C34" s="17" t="s">
        <v>280</v>
      </c>
      <c r="D34" s="16" t="s">
        <v>9</v>
      </c>
      <c r="E34" s="17" t="s">
        <v>83</v>
      </c>
      <c r="F34" s="17" t="s">
        <v>281</v>
      </c>
      <c r="G34" s="17" t="s">
        <v>282</v>
      </c>
      <c r="H34" s="17" t="s">
        <v>283</v>
      </c>
      <c r="I34" s="17" t="s">
        <v>284</v>
      </c>
      <c r="J34" s="17" t="s">
        <v>152</v>
      </c>
      <c r="K34" s="17" t="s">
        <v>89</v>
      </c>
      <c r="L34" s="17" t="s">
        <v>90</v>
      </c>
      <c r="M34" s="17" t="s">
        <v>285</v>
      </c>
      <c r="N34" s="18" t="s">
        <v>92</v>
      </c>
      <c r="O34" s="17" t="s">
        <v>93</v>
      </c>
      <c r="P34" s="17" t="s">
        <v>94</v>
      </c>
      <c r="Q34" s="17" t="s">
        <v>94</v>
      </c>
    </row>
    <row r="35" spans="1:17" ht="52.05" customHeight="1">
      <c r="A35" s="16" t="s">
        <v>286</v>
      </c>
      <c r="B35" s="17" t="s">
        <v>58</v>
      </c>
      <c r="C35" s="17" t="s">
        <v>280</v>
      </c>
      <c r="D35" s="16" t="s">
        <v>11</v>
      </c>
      <c r="E35" s="17" t="s">
        <v>83</v>
      </c>
      <c r="F35" s="17" t="s">
        <v>287</v>
      </c>
      <c r="G35" s="17" t="s">
        <v>288</v>
      </c>
      <c r="H35" s="17" t="s">
        <v>289</v>
      </c>
      <c r="I35" s="17" t="s">
        <v>290</v>
      </c>
      <c r="J35" s="17" t="s">
        <v>152</v>
      </c>
      <c r="K35" s="17" t="s">
        <v>89</v>
      </c>
      <c r="L35" s="17" t="s">
        <v>90</v>
      </c>
      <c r="M35" s="17" t="s">
        <v>285</v>
      </c>
      <c r="N35" s="18" t="s">
        <v>92</v>
      </c>
      <c r="O35" s="17" t="s">
        <v>93</v>
      </c>
      <c r="P35" s="17" t="s">
        <v>94</v>
      </c>
      <c r="Q35" s="17" t="s">
        <v>94</v>
      </c>
    </row>
    <row r="36" spans="1:17" ht="52.05" customHeight="1">
      <c r="A36" s="16" t="s">
        <v>291</v>
      </c>
      <c r="B36" s="17" t="s">
        <v>58</v>
      </c>
      <c r="C36" s="17" t="s">
        <v>280</v>
      </c>
      <c r="D36" s="16" t="s">
        <v>15</v>
      </c>
      <c r="E36" s="17" t="s">
        <v>41</v>
      </c>
      <c r="F36" s="17" t="s">
        <v>140</v>
      </c>
      <c r="G36" s="17" t="s">
        <v>288</v>
      </c>
      <c r="H36" s="17" t="s">
        <v>292</v>
      </c>
      <c r="I36" s="17" t="s">
        <v>293</v>
      </c>
      <c r="J36" s="17" t="s">
        <v>189</v>
      </c>
      <c r="K36" s="17" t="s">
        <v>89</v>
      </c>
      <c r="L36" s="20" t="s">
        <v>145</v>
      </c>
      <c r="M36" s="17" t="s">
        <v>285</v>
      </c>
      <c r="N36" s="18" t="s">
        <v>92</v>
      </c>
      <c r="O36" s="17" t="s">
        <v>93</v>
      </c>
      <c r="P36" s="17" t="s">
        <v>94</v>
      </c>
      <c r="Q36" s="17" t="s">
        <v>94</v>
      </c>
    </row>
    <row r="37" spans="1:17" ht="52.05" customHeight="1">
      <c r="A37" s="16" t="s">
        <v>294</v>
      </c>
      <c r="B37" s="17" t="s">
        <v>58</v>
      </c>
      <c r="C37" s="17" t="s">
        <v>295</v>
      </c>
      <c r="D37" s="16" t="s">
        <v>15</v>
      </c>
      <c r="E37" s="17" t="s">
        <v>43</v>
      </c>
      <c r="F37" s="17" t="s">
        <v>296</v>
      </c>
      <c r="G37" s="17" t="s">
        <v>297</v>
      </c>
      <c r="H37" s="17" t="s">
        <v>298</v>
      </c>
      <c r="I37" s="17" t="s">
        <v>299</v>
      </c>
      <c r="J37" s="17" t="s">
        <v>182</v>
      </c>
      <c r="K37" s="17" t="s">
        <v>89</v>
      </c>
      <c r="L37" s="17" t="s">
        <v>90</v>
      </c>
      <c r="M37" s="17" t="s">
        <v>300</v>
      </c>
      <c r="N37" s="18" t="s">
        <v>92</v>
      </c>
      <c r="O37" s="17" t="s">
        <v>93</v>
      </c>
      <c r="P37" s="17" t="s">
        <v>94</v>
      </c>
      <c r="Q37" s="17" t="s">
        <v>94</v>
      </c>
    </row>
    <row r="38" spans="1:17" ht="52.05" customHeight="1">
      <c r="A38" s="16" t="s">
        <v>301</v>
      </c>
      <c r="B38" s="17" t="s">
        <v>58</v>
      </c>
      <c r="C38" s="17" t="s">
        <v>302</v>
      </c>
      <c r="D38" s="16" t="s">
        <v>17</v>
      </c>
      <c r="E38" s="17" t="s">
        <v>247</v>
      </c>
      <c r="F38" s="17" t="s">
        <v>303</v>
      </c>
      <c r="G38" s="17" t="s">
        <v>304</v>
      </c>
      <c r="H38" s="17" t="s">
        <v>305</v>
      </c>
      <c r="I38" s="17" t="s">
        <v>306</v>
      </c>
      <c r="J38" s="17" t="s">
        <v>307</v>
      </c>
      <c r="K38" s="17" t="s">
        <v>308</v>
      </c>
      <c r="L38" s="17" t="s">
        <v>90</v>
      </c>
      <c r="M38" s="17" t="s">
        <v>309</v>
      </c>
      <c r="N38" s="18" t="s">
        <v>92</v>
      </c>
      <c r="O38" s="17" t="s">
        <v>93</v>
      </c>
      <c r="P38" s="17" t="s">
        <v>94</v>
      </c>
      <c r="Q38" s="17" t="s">
        <v>94</v>
      </c>
    </row>
    <row r="39" spans="1:17" ht="52.05" customHeight="1">
      <c r="A39" s="16" t="s">
        <v>310</v>
      </c>
      <c r="B39" s="17" t="s">
        <v>58</v>
      </c>
      <c r="C39" s="17" t="s">
        <v>302</v>
      </c>
      <c r="D39" s="16" t="s">
        <v>15</v>
      </c>
      <c r="E39" s="17" t="s">
        <v>247</v>
      </c>
      <c r="F39" s="17" t="s">
        <v>303</v>
      </c>
      <c r="G39" s="17" t="s">
        <v>311</v>
      </c>
      <c r="H39" s="17" t="s">
        <v>312</v>
      </c>
      <c r="I39" s="17" t="s">
        <v>313</v>
      </c>
      <c r="J39" s="17" t="s">
        <v>314</v>
      </c>
      <c r="K39" s="17" t="s">
        <v>315</v>
      </c>
      <c r="L39" s="17" t="s">
        <v>90</v>
      </c>
      <c r="M39" s="17" t="s">
        <v>316</v>
      </c>
      <c r="N39" s="18" t="s">
        <v>92</v>
      </c>
      <c r="O39" s="17" t="s">
        <v>93</v>
      </c>
      <c r="P39" s="17" t="s">
        <v>94</v>
      </c>
      <c r="Q39" s="17" t="s">
        <v>94</v>
      </c>
    </row>
    <row r="40" spans="1:17" ht="52.05" customHeight="1">
      <c r="A40" s="16" t="s">
        <v>317</v>
      </c>
      <c r="B40" s="17" t="s">
        <v>58</v>
      </c>
      <c r="C40" s="17" t="s">
        <v>318</v>
      </c>
      <c r="D40" s="16" t="s">
        <v>19</v>
      </c>
      <c r="E40" s="17" t="s">
        <v>247</v>
      </c>
      <c r="F40" s="17" t="s">
        <v>319</v>
      </c>
      <c r="G40" s="17" t="s">
        <v>320</v>
      </c>
      <c r="H40" s="17" t="s">
        <v>321</v>
      </c>
      <c r="I40" s="17" t="s">
        <v>322</v>
      </c>
      <c r="J40" s="17" t="s">
        <v>323</v>
      </c>
      <c r="K40" s="17" t="s">
        <v>324</v>
      </c>
      <c r="L40" s="17" t="s">
        <v>90</v>
      </c>
      <c r="M40" s="17" t="s">
        <v>325</v>
      </c>
      <c r="N40" s="18" t="s">
        <v>92</v>
      </c>
      <c r="O40" s="17" t="s">
        <v>93</v>
      </c>
      <c r="P40" s="17" t="s">
        <v>94</v>
      </c>
      <c r="Q40" s="17" t="s">
        <v>94</v>
      </c>
    </row>
    <row r="41" spans="1:17" ht="52.05" customHeight="1">
      <c r="A41" s="16" t="s">
        <v>326</v>
      </c>
      <c r="B41" s="17" t="s">
        <v>58</v>
      </c>
      <c r="C41" s="17" t="s">
        <v>318</v>
      </c>
      <c r="D41" s="16" t="s">
        <v>21</v>
      </c>
      <c r="E41" s="17" t="s">
        <v>247</v>
      </c>
      <c r="F41" s="17" t="s">
        <v>327</v>
      </c>
      <c r="G41" s="17" t="s">
        <v>320</v>
      </c>
      <c r="H41" s="17" t="s">
        <v>328</v>
      </c>
      <c r="I41" s="17" t="s">
        <v>329</v>
      </c>
      <c r="J41" s="17" t="s">
        <v>330</v>
      </c>
      <c r="K41" s="17" t="s">
        <v>331</v>
      </c>
      <c r="L41" s="17" t="s">
        <v>90</v>
      </c>
      <c r="M41" s="17" t="s">
        <v>325</v>
      </c>
      <c r="N41" s="19" t="s">
        <v>125</v>
      </c>
      <c r="O41" s="17" t="s">
        <v>93</v>
      </c>
      <c r="P41" s="17" t="s">
        <v>94</v>
      </c>
      <c r="Q41" s="17" t="s">
        <v>94</v>
      </c>
    </row>
    <row r="42" spans="1:17" ht="52.05" customHeight="1">
      <c r="A42" s="16" t="s">
        <v>332</v>
      </c>
      <c r="B42" s="17" t="s">
        <v>58</v>
      </c>
      <c r="C42" s="17" t="s">
        <v>318</v>
      </c>
      <c r="D42" s="16" t="s">
        <v>13</v>
      </c>
      <c r="E42" s="17" t="s">
        <v>247</v>
      </c>
      <c r="F42" s="17" t="s">
        <v>333</v>
      </c>
      <c r="G42" s="17" t="s">
        <v>320</v>
      </c>
      <c r="H42" s="17" t="s">
        <v>334</v>
      </c>
      <c r="I42" s="17" t="s">
        <v>335</v>
      </c>
      <c r="J42" s="17" t="s">
        <v>330</v>
      </c>
      <c r="K42" s="17" t="s">
        <v>331</v>
      </c>
      <c r="L42" s="17" t="s">
        <v>90</v>
      </c>
      <c r="M42" s="17" t="s">
        <v>325</v>
      </c>
      <c r="N42" s="19" t="s">
        <v>125</v>
      </c>
      <c r="O42" s="17" t="s">
        <v>93</v>
      </c>
      <c r="P42" s="17" t="s">
        <v>94</v>
      </c>
      <c r="Q42" s="17" t="s">
        <v>94</v>
      </c>
    </row>
    <row r="43" spans="1:17" ht="52.05" customHeight="1">
      <c r="A43" s="16" t="s">
        <v>336</v>
      </c>
      <c r="B43" s="17" t="s">
        <v>58</v>
      </c>
      <c r="C43" s="17" t="s">
        <v>337</v>
      </c>
      <c r="D43" s="16" t="s">
        <v>23</v>
      </c>
      <c r="E43" s="17" t="s">
        <v>247</v>
      </c>
      <c r="F43" s="17" t="s">
        <v>338</v>
      </c>
      <c r="G43" s="17" t="s">
        <v>320</v>
      </c>
      <c r="H43" s="17" t="s">
        <v>339</v>
      </c>
      <c r="I43" s="17" t="s">
        <v>340</v>
      </c>
      <c r="J43" s="17" t="s">
        <v>341</v>
      </c>
      <c r="K43" s="17" t="s">
        <v>342</v>
      </c>
      <c r="L43" s="17" t="s">
        <v>90</v>
      </c>
      <c r="M43" s="17" t="s">
        <v>343</v>
      </c>
      <c r="N43" s="19" t="s">
        <v>125</v>
      </c>
      <c r="O43" s="17" t="s">
        <v>93</v>
      </c>
      <c r="P43" s="17" t="s">
        <v>94</v>
      </c>
      <c r="Q43" s="17" t="s">
        <v>94</v>
      </c>
    </row>
    <row r="44" spans="1:17" ht="52.05" customHeight="1">
      <c r="A44" s="16" t="s">
        <v>344</v>
      </c>
      <c r="B44" s="17" t="s">
        <v>58</v>
      </c>
      <c r="C44" s="17" t="s">
        <v>345</v>
      </c>
      <c r="D44" s="16" t="s">
        <v>9</v>
      </c>
      <c r="E44" s="17" t="s">
        <v>83</v>
      </c>
      <c r="F44" s="17" t="s">
        <v>140</v>
      </c>
      <c r="G44" s="17" t="s">
        <v>346</v>
      </c>
      <c r="H44" s="17" t="s">
        <v>347</v>
      </c>
      <c r="I44" s="17" t="s">
        <v>348</v>
      </c>
      <c r="J44" s="17" t="s">
        <v>349</v>
      </c>
      <c r="K44" s="17" t="s">
        <v>89</v>
      </c>
      <c r="L44" s="17" t="s">
        <v>90</v>
      </c>
      <c r="M44" s="17" t="s">
        <v>350</v>
      </c>
      <c r="N44" s="19" t="s">
        <v>125</v>
      </c>
      <c r="O44" s="17" t="s">
        <v>93</v>
      </c>
      <c r="P44" s="17" t="s">
        <v>94</v>
      </c>
      <c r="Q44" s="17" t="s">
        <v>94</v>
      </c>
    </row>
    <row r="45" spans="1:17" ht="52.05" customHeight="1">
      <c r="A45" s="16" t="s">
        <v>351</v>
      </c>
      <c r="B45" s="17" t="s">
        <v>58</v>
      </c>
      <c r="C45" s="17" t="s">
        <v>352</v>
      </c>
      <c r="D45" s="16" t="s">
        <v>15</v>
      </c>
      <c r="E45" s="17" t="s">
        <v>41</v>
      </c>
      <c r="F45" s="17" t="s">
        <v>353</v>
      </c>
      <c r="G45" s="17" t="s">
        <v>354</v>
      </c>
      <c r="H45" s="17" t="s">
        <v>355</v>
      </c>
      <c r="I45" s="17" t="s">
        <v>356</v>
      </c>
      <c r="J45" s="17" t="s">
        <v>357</v>
      </c>
      <c r="K45" s="17" t="s">
        <v>358</v>
      </c>
      <c r="L45" s="20" t="s">
        <v>145</v>
      </c>
      <c r="M45" s="17" t="s">
        <v>359</v>
      </c>
      <c r="N45" s="18" t="s">
        <v>92</v>
      </c>
      <c r="O45" s="17" t="s">
        <v>93</v>
      </c>
      <c r="P45" s="17" t="s">
        <v>94</v>
      </c>
      <c r="Q45" s="17" t="s">
        <v>94</v>
      </c>
    </row>
    <row r="46" spans="1:17" ht="52.05" customHeight="1">
      <c r="A46" s="16" t="s">
        <v>360</v>
      </c>
      <c r="B46" s="17" t="s">
        <v>58</v>
      </c>
      <c r="C46" s="17" t="s">
        <v>361</v>
      </c>
      <c r="D46" s="16" t="s">
        <v>19</v>
      </c>
      <c r="E46" s="17" t="s">
        <v>41</v>
      </c>
      <c r="F46" s="17" t="s">
        <v>362</v>
      </c>
      <c r="G46" s="17" t="s">
        <v>311</v>
      </c>
      <c r="H46" s="17" t="s">
        <v>363</v>
      </c>
      <c r="I46" s="17" t="s">
        <v>364</v>
      </c>
      <c r="J46" s="17" t="s">
        <v>365</v>
      </c>
      <c r="K46" s="17" t="s">
        <v>358</v>
      </c>
      <c r="L46" s="20" t="s">
        <v>145</v>
      </c>
      <c r="M46" s="17" t="s">
        <v>316</v>
      </c>
      <c r="N46" s="18" t="s">
        <v>92</v>
      </c>
      <c r="O46" s="17" t="s">
        <v>93</v>
      </c>
      <c r="P46" s="17" t="s">
        <v>94</v>
      </c>
      <c r="Q46" s="17" t="s">
        <v>94</v>
      </c>
    </row>
    <row r="47" spans="1:17" ht="52.05" customHeight="1">
      <c r="A47" s="16" t="s">
        <v>366</v>
      </c>
      <c r="B47" s="17" t="s">
        <v>58</v>
      </c>
      <c r="C47" s="17" t="s">
        <v>367</v>
      </c>
      <c r="D47" s="16" t="s">
        <v>11</v>
      </c>
      <c r="E47" s="17" t="s">
        <v>368</v>
      </c>
      <c r="F47" s="17" t="s">
        <v>369</v>
      </c>
      <c r="G47" s="17" t="s">
        <v>370</v>
      </c>
      <c r="H47" s="17" t="s">
        <v>289</v>
      </c>
      <c r="I47" s="17" t="s">
        <v>371</v>
      </c>
      <c r="J47" s="17" t="s">
        <v>372</v>
      </c>
      <c r="K47" s="17" t="s">
        <v>89</v>
      </c>
      <c r="L47" s="17" t="s">
        <v>90</v>
      </c>
      <c r="M47" s="17" t="s">
        <v>373</v>
      </c>
      <c r="N47" s="18" t="s">
        <v>92</v>
      </c>
      <c r="O47" s="17" t="s">
        <v>93</v>
      </c>
      <c r="P47" s="17" t="s">
        <v>94</v>
      </c>
      <c r="Q47" s="17" t="s">
        <v>94</v>
      </c>
    </row>
    <row r="48" spans="1:17" ht="52.05" customHeight="1">
      <c r="A48" s="16" t="s">
        <v>374</v>
      </c>
      <c r="B48" s="17" t="s">
        <v>59</v>
      </c>
      <c r="C48" s="17" t="s">
        <v>375</v>
      </c>
      <c r="D48" s="16" t="s">
        <v>9</v>
      </c>
      <c r="E48" s="17" t="s">
        <v>83</v>
      </c>
      <c r="F48" s="17" t="s">
        <v>140</v>
      </c>
      <c r="G48" s="17" t="s">
        <v>376</v>
      </c>
      <c r="H48" s="17" t="s">
        <v>377</v>
      </c>
      <c r="I48" s="17" t="s">
        <v>378</v>
      </c>
      <c r="J48" s="17" t="s">
        <v>152</v>
      </c>
      <c r="K48" s="17" t="s">
        <v>89</v>
      </c>
      <c r="L48" s="17" t="s">
        <v>90</v>
      </c>
      <c r="M48" s="17" t="s">
        <v>379</v>
      </c>
      <c r="N48" s="18" t="s">
        <v>92</v>
      </c>
      <c r="O48" s="17" t="s">
        <v>93</v>
      </c>
      <c r="P48" s="17" t="s">
        <v>94</v>
      </c>
      <c r="Q48" s="17" t="s">
        <v>94</v>
      </c>
    </row>
    <row r="49" spans="1:17" ht="52.05" customHeight="1">
      <c r="A49" s="16" t="s">
        <v>380</v>
      </c>
      <c r="B49" s="17" t="s">
        <v>59</v>
      </c>
      <c r="C49" s="17" t="s">
        <v>375</v>
      </c>
      <c r="D49" s="16" t="s">
        <v>11</v>
      </c>
      <c r="E49" s="17" t="s">
        <v>83</v>
      </c>
      <c r="F49" s="17" t="s">
        <v>140</v>
      </c>
      <c r="G49" s="17" t="s">
        <v>376</v>
      </c>
      <c r="H49" s="17" t="s">
        <v>381</v>
      </c>
      <c r="I49" s="17" t="s">
        <v>382</v>
      </c>
      <c r="J49" s="17" t="s">
        <v>152</v>
      </c>
      <c r="K49" s="17" t="s">
        <v>89</v>
      </c>
      <c r="L49" s="17" t="s">
        <v>90</v>
      </c>
      <c r="M49" s="17" t="s">
        <v>379</v>
      </c>
      <c r="N49" s="18" t="s">
        <v>92</v>
      </c>
      <c r="O49" s="17" t="s">
        <v>93</v>
      </c>
      <c r="P49" s="17" t="s">
        <v>94</v>
      </c>
      <c r="Q49" s="17" t="s">
        <v>94</v>
      </c>
    </row>
    <row r="50" spans="1:17" ht="52.05" customHeight="1">
      <c r="A50" s="16" t="s">
        <v>383</v>
      </c>
      <c r="B50" s="17" t="s">
        <v>59</v>
      </c>
      <c r="C50" s="17" t="s">
        <v>384</v>
      </c>
      <c r="D50" s="16" t="s">
        <v>15</v>
      </c>
      <c r="E50" s="17" t="s">
        <v>41</v>
      </c>
      <c r="F50" s="17" t="s">
        <v>140</v>
      </c>
      <c r="G50" s="17" t="s">
        <v>385</v>
      </c>
      <c r="H50" s="17" t="s">
        <v>386</v>
      </c>
      <c r="I50" s="17" t="s">
        <v>387</v>
      </c>
      <c r="J50" s="17" t="s">
        <v>365</v>
      </c>
      <c r="K50" s="17" t="s">
        <v>89</v>
      </c>
      <c r="L50" s="20" t="s">
        <v>145</v>
      </c>
      <c r="M50" s="17" t="s">
        <v>388</v>
      </c>
      <c r="N50" s="18" t="s">
        <v>92</v>
      </c>
      <c r="O50" s="17" t="s">
        <v>93</v>
      </c>
      <c r="P50" s="17" t="s">
        <v>94</v>
      </c>
      <c r="Q50" s="17" t="s">
        <v>94</v>
      </c>
    </row>
    <row r="51" spans="1:17" ht="52.05" customHeight="1">
      <c r="A51" s="16" t="s">
        <v>389</v>
      </c>
      <c r="B51" s="17" t="s">
        <v>59</v>
      </c>
      <c r="C51" s="17" t="s">
        <v>390</v>
      </c>
      <c r="D51" s="16" t="s">
        <v>19</v>
      </c>
      <c r="E51" s="17" t="s">
        <v>41</v>
      </c>
      <c r="F51" s="17" t="s">
        <v>140</v>
      </c>
      <c r="G51" s="17" t="s">
        <v>391</v>
      </c>
      <c r="H51" s="17" t="s">
        <v>392</v>
      </c>
      <c r="I51" s="17" t="s">
        <v>393</v>
      </c>
      <c r="J51" s="17" t="s">
        <v>365</v>
      </c>
      <c r="K51" s="17" t="s">
        <v>89</v>
      </c>
      <c r="L51" s="20" t="s">
        <v>145</v>
      </c>
      <c r="M51" s="17" t="s">
        <v>388</v>
      </c>
      <c r="N51" s="18" t="s">
        <v>92</v>
      </c>
      <c r="O51" s="17" t="s">
        <v>93</v>
      </c>
      <c r="P51" s="17" t="s">
        <v>94</v>
      </c>
      <c r="Q51" s="17" t="s">
        <v>94</v>
      </c>
    </row>
    <row r="52" spans="1:17" ht="52.05" customHeight="1">
      <c r="A52" s="16" t="s">
        <v>394</v>
      </c>
      <c r="B52" s="17" t="s">
        <v>59</v>
      </c>
      <c r="C52" s="17" t="s">
        <v>390</v>
      </c>
      <c r="D52" s="16" t="s">
        <v>21</v>
      </c>
      <c r="E52" s="17" t="s">
        <v>41</v>
      </c>
      <c r="F52" s="17" t="s">
        <v>140</v>
      </c>
      <c r="G52" s="17" t="s">
        <v>391</v>
      </c>
      <c r="H52" s="17" t="s">
        <v>187</v>
      </c>
      <c r="I52" s="17" t="s">
        <v>393</v>
      </c>
      <c r="J52" s="17" t="s">
        <v>365</v>
      </c>
      <c r="K52" s="17" t="s">
        <v>89</v>
      </c>
      <c r="L52" s="20" t="s">
        <v>145</v>
      </c>
      <c r="M52" s="17" t="s">
        <v>388</v>
      </c>
      <c r="N52" s="19" t="s">
        <v>125</v>
      </c>
      <c r="O52" s="17" t="s">
        <v>93</v>
      </c>
      <c r="P52" s="17" t="s">
        <v>94</v>
      </c>
      <c r="Q52" s="17" t="s">
        <v>94</v>
      </c>
    </row>
    <row r="53" spans="1:17" ht="52.05" customHeight="1">
      <c r="A53" s="16" t="s">
        <v>395</v>
      </c>
      <c r="B53" s="17" t="s">
        <v>59</v>
      </c>
      <c r="C53" s="17" t="s">
        <v>390</v>
      </c>
      <c r="D53" s="16" t="s">
        <v>13</v>
      </c>
      <c r="E53" s="17" t="s">
        <v>41</v>
      </c>
      <c r="F53" s="17" t="s">
        <v>140</v>
      </c>
      <c r="G53" s="17" t="s">
        <v>391</v>
      </c>
      <c r="H53" s="17" t="s">
        <v>396</v>
      </c>
      <c r="I53" s="17" t="s">
        <v>393</v>
      </c>
      <c r="J53" s="17" t="s">
        <v>365</v>
      </c>
      <c r="K53" s="17" t="s">
        <v>89</v>
      </c>
      <c r="L53" s="20" t="s">
        <v>145</v>
      </c>
      <c r="M53" s="17" t="s">
        <v>388</v>
      </c>
      <c r="N53" s="19" t="s">
        <v>125</v>
      </c>
      <c r="O53" s="17" t="s">
        <v>93</v>
      </c>
      <c r="P53" s="17" t="s">
        <v>94</v>
      </c>
      <c r="Q53" s="17" t="s">
        <v>94</v>
      </c>
    </row>
    <row r="54" spans="1:17" ht="52.05" customHeight="1">
      <c r="A54" s="16" t="s">
        <v>397</v>
      </c>
      <c r="B54" s="17" t="s">
        <v>59</v>
      </c>
      <c r="C54" s="17" t="s">
        <v>390</v>
      </c>
      <c r="D54" s="16" t="s">
        <v>23</v>
      </c>
      <c r="E54" s="17" t="s">
        <v>41</v>
      </c>
      <c r="F54" s="17" t="s">
        <v>140</v>
      </c>
      <c r="G54" s="17" t="s">
        <v>391</v>
      </c>
      <c r="H54" s="17" t="s">
        <v>192</v>
      </c>
      <c r="I54" s="17" t="s">
        <v>393</v>
      </c>
      <c r="J54" s="17" t="s">
        <v>365</v>
      </c>
      <c r="K54" s="17" t="s">
        <v>89</v>
      </c>
      <c r="L54" s="20" t="s">
        <v>145</v>
      </c>
      <c r="M54" s="17" t="s">
        <v>388</v>
      </c>
      <c r="N54" s="19" t="s">
        <v>125</v>
      </c>
      <c r="O54" s="17" t="s">
        <v>93</v>
      </c>
      <c r="P54" s="17" t="s">
        <v>94</v>
      </c>
      <c r="Q54" s="17" t="s">
        <v>94</v>
      </c>
    </row>
    <row r="55" spans="1:17" ht="52.05" customHeight="1">
      <c r="A55" s="16" t="s">
        <v>398</v>
      </c>
      <c r="B55" s="17" t="s">
        <v>59</v>
      </c>
      <c r="C55" s="17" t="s">
        <v>399</v>
      </c>
      <c r="D55" s="16" t="s">
        <v>11</v>
      </c>
      <c r="E55" s="17" t="s">
        <v>368</v>
      </c>
      <c r="F55" s="17" t="s">
        <v>400</v>
      </c>
      <c r="G55" s="17" t="s">
        <v>401</v>
      </c>
      <c r="H55" s="17" t="s">
        <v>402</v>
      </c>
      <c r="I55" s="17" t="s">
        <v>403</v>
      </c>
      <c r="J55" s="17" t="s">
        <v>404</v>
      </c>
      <c r="K55" s="17" t="s">
        <v>405</v>
      </c>
      <c r="L55" s="20" t="s">
        <v>145</v>
      </c>
      <c r="M55" s="17" t="s">
        <v>406</v>
      </c>
      <c r="N55" s="19" t="s">
        <v>125</v>
      </c>
      <c r="O55" s="17" t="s">
        <v>93</v>
      </c>
      <c r="P55" s="17" t="s">
        <v>94</v>
      </c>
      <c r="Q55" s="17" t="s">
        <v>94</v>
      </c>
    </row>
    <row r="56" spans="1:17" ht="52.05" customHeight="1">
      <c r="A56" s="16" t="s">
        <v>407</v>
      </c>
      <c r="B56" s="17" t="s">
        <v>60</v>
      </c>
      <c r="C56" s="17" t="s">
        <v>408</v>
      </c>
      <c r="D56" s="16" t="s">
        <v>9</v>
      </c>
      <c r="E56" s="17" t="s">
        <v>83</v>
      </c>
      <c r="F56" s="17" t="s">
        <v>140</v>
      </c>
      <c r="G56" s="17" t="s">
        <v>409</v>
      </c>
      <c r="H56" s="17" t="s">
        <v>410</v>
      </c>
      <c r="I56" s="17" t="s">
        <v>411</v>
      </c>
      <c r="J56" s="17" t="s">
        <v>152</v>
      </c>
      <c r="K56" s="17" t="s">
        <v>89</v>
      </c>
      <c r="L56" s="17" t="s">
        <v>90</v>
      </c>
      <c r="M56" s="17" t="s">
        <v>412</v>
      </c>
      <c r="N56" s="18" t="s">
        <v>92</v>
      </c>
      <c r="O56" s="17" t="s">
        <v>93</v>
      </c>
      <c r="P56" s="17" t="s">
        <v>94</v>
      </c>
      <c r="Q56" s="17" t="s">
        <v>94</v>
      </c>
    </row>
    <row r="57" spans="1:17" ht="52.05" customHeight="1">
      <c r="A57" s="16" t="s">
        <v>413</v>
      </c>
      <c r="B57" s="17" t="s">
        <v>60</v>
      </c>
      <c r="C57" s="17" t="s">
        <v>414</v>
      </c>
      <c r="D57" s="16" t="s">
        <v>11</v>
      </c>
      <c r="E57" s="17" t="s">
        <v>247</v>
      </c>
      <c r="F57" s="17" t="s">
        <v>415</v>
      </c>
      <c r="G57" s="17" t="s">
        <v>416</v>
      </c>
      <c r="H57" s="17" t="s">
        <v>417</v>
      </c>
      <c r="I57" s="17" t="s">
        <v>418</v>
      </c>
      <c r="J57" s="17" t="s">
        <v>419</v>
      </c>
      <c r="K57" s="17" t="s">
        <v>420</v>
      </c>
      <c r="L57" s="17" t="s">
        <v>90</v>
      </c>
      <c r="M57" s="17" t="s">
        <v>421</v>
      </c>
      <c r="N57" s="18" t="s">
        <v>92</v>
      </c>
      <c r="O57" s="17" t="s">
        <v>93</v>
      </c>
      <c r="P57" s="17" t="s">
        <v>94</v>
      </c>
      <c r="Q57" s="17" t="s">
        <v>94</v>
      </c>
    </row>
    <row r="58" spans="1:17" ht="52.05" customHeight="1">
      <c r="A58" s="16" t="s">
        <v>422</v>
      </c>
      <c r="B58" s="17" t="s">
        <v>60</v>
      </c>
      <c r="C58" s="17" t="s">
        <v>423</v>
      </c>
      <c r="D58" s="16" t="s">
        <v>15</v>
      </c>
      <c r="E58" s="17" t="s">
        <v>41</v>
      </c>
      <c r="F58" s="17" t="s">
        <v>140</v>
      </c>
      <c r="G58" s="17" t="s">
        <v>424</v>
      </c>
      <c r="H58" s="17" t="s">
        <v>292</v>
      </c>
      <c r="I58" s="17" t="s">
        <v>425</v>
      </c>
      <c r="J58" s="17" t="s">
        <v>365</v>
      </c>
      <c r="K58" s="17" t="s">
        <v>89</v>
      </c>
      <c r="L58" s="20" t="s">
        <v>145</v>
      </c>
      <c r="M58" s="17" t="s">
        <v>412</v>
      </c>
      <c r="N58" s="18" t="s">
        <v>92</v>
      </c>
      <c r="O58" s="17" t="s">
        <v>93</v>
      </c>
      <c r="P58" s="17" t="s">
        <v>94</v>
      </c>
      <c r="Q58" s="17" t="s">
        <v>94</v>
      </c>
    </row>
    <row r="59" spans="1:17" ht="52.05" customHeight="1">
      <c r="A59" s="16" t="s">
        <v>426</v>
      </c>
      <c r="B59" s="17" t="s">
        <v>60</v>
      </c>
      <c r="C59" s="17" t="s">
        <v>427</v>
      </c>
      <c r="D59" s="16" t="s">
        <v>19</v>
      </c>
      <c r="E59" s="17" t="s">
        <v>41</v>
      </c>
      <c r="F59" s="17" t="s">
        <v>140</v>
      </c>
      <c r="G59" s="17" t="s">
        <v>428</v>
      </c>
      <c r="H59" s="17" t="s">
        <v>429</v>
      </c>
      <c r="I59" s="17" t="s">
        <v>393</v>
      </c>
      <c r="J59" s="17" t="s">
        <v>365</v>
      </c>
      <c r="K59" s="17" t="s">
        <v>89</v>
      </c>
      <c r="L59" s="20" t="s">
        <v>145</v>
      </c>
      <c r="M59" s="17" t="s">
        <v>430</v>
      </c>
      <c r="N59" s="18" t="s">
        <v>92</v>
      </c>
      <c r="O59" s="17" t="s">
        <v>93</v>
      </c>
      <c r="P59" s="17" t="s">
        <v>94</v>
      </c>
      <c r="Q59" s="17" t="s">
        <v>94</v>
      </c>
    </row>
    <row r="60" spans="1:17" ht="52.05" customHeight="1">
      <c r="A60" s="16" t="s">
        <v>431</v>
      </c>
      <c r="B60" s="17" t="s">
        <v>60</v>
      </c>
      <c r="C60" s="17" t="s">
        <v>432</v>
      </c>
      <c r="D60" s="16" t="s">
        <v>17</v>
      </c>
      <c r="E60" s="17" t="s">
        <v>41</v>
      </c>
      <c r="F60" s="17" t="s">
        <v>140</v>
      </c>
      <c r="G60" s="17" t="s">
        <v>433</v>
      </c>
      <c r="H60" s="17" t="s">
        <v>434</v>
      </c>
      <c r="I60" s="17" t="s">
        <v>393</v>
      </c>
      <c r="J60" s="17" t="s">
        <v>365</v>
      </c>
      <c r="K60" s="17" t="s">
        <v>89</v>
      </c>
      <c r="L60" s="20" t="s">
        <v>145</v>
      </c>
      <c r="M60" s="17" t="s">
        <v>435</v>
      </c>
      <c r="N60" s="18" t="s">
        <v>92</v>
      </c>
      <c r="O60" s="17" t="s">
        <v>93</v>
      </c>
      <c r="P60" s="17" t="s">
        <v>94</v>
      </c>
      <c r="Q60" s="17" t="s">
        <v>94</v>
      </c>
    </row>
    <row r="61" spans="1:17" ht="52.05" customHeight="1">
      <c r="A61" s="16" t="s">
        <v>436</v>
      </c>
      <c r="B61" s="17" t="s">
        <v>60</v>
      </c>
      <c r="C61" s="17" t="s">
        <v>437</v>
      </c>
      <c r="D61" s="16" t="s">
        <v>11</v>
      </c>
      <c r="E61" s="17" t="s">
        <v>41</v>
      </c>
      <c r="F61" s="17" t="s">
        <v>140</v>
      </c>
      <c r="G61" s="17" t="s">
        <v>438</v>
      </c>
      <c r="H61" s="17" t="s">
        <v>439</v>
      </c>
      <c r="I61" s="17" t="s">
        <v>440</v>
      </c>
      <c r="J61" s="17" t="s">
        <v>441</v>
      </c>
      <c r="K61" s="17" t="s">
        <v>89</v>
      </c>
      <c r="L61" s="20" t="s">
        <v>145</v>
      </c>
      <c r="M61" s="17" t="s">
        <v>442</v>
      </c>
      <c r="N61" s="19" t="s">
        <v>125</v>
      </c>
      <c r="O61" s="17" t="s">
        <v>93</v>
      </c>
      <c r="P61" s="17" t="s">
        <v>94</v>
      </c>
      <c r="Q61" s="17" t="s">
        <v>94</v>
      </c>
    </row>
    <row r="62" spans="1:17" ht="52.05" customHeight="1">
      <c r="A62" s="16" t="s">
        <v>443</v>
      </c>
      <c r="B62" s="17" t="s">
        <v>60</v>
      </c>
      <c r="C62" s="17" t="s">
        <v>444</v>
      </c>
      <c r="D62" s="16" t="s">
        <v>9</v>
      </c>
      <c r="E62" s="17" t="s">
        <v>368</v>
      </c>
      <c r="F62" s="17" t="s">
        <v>445</v>
      </c>
      <c r="G62" s="17" t="s">
        <v>428</v>
      </c>
      <c r="H62" s="17" t="s">
        <v>446</v>
      </c>
      <c r="I62" s="17" t="s">
        <v>447</v>
      </c>
      <c r="J62" s="17" t="s">
        <v>448</v>
      </c>
      <c r="K62" s="17" t="s">
        <v>89</v>
      </c>
      <c r="L62" s="20" t="s">
        <v>145</v>
      </c>
      <c r="M62" s="17" t="s">
        <v>442</v>
      </c>
      <c r="N62" s="19" t="s">
        <v>125</v>
      </c>
      <c r="O62" s="17" t="s">
        <v>93</v>
      </c>
      <c r="P62" s="17" t="s">
        <v>94</v>
      </c>
      <c r="Q62" s="17" t="s">
        <v>94</v>
      </c>
    </row>
    <row r="63" spans="1:17" ht="52.05" customHeight="1">
      <c r="A63" s="16" t="s">
        <v>449</v>
      </c>
      <c r="B63" s="17" t="s">
        <v>60</v>
      </c>
      <c r="C63" s="17" t="s">
        <v>450</v>
      </c>
      <c r="D63" s="16" t="s">
        <v>13</v>
      </c>
      <c r="E63" s="17" t="s">
        <v>41</v>
      </c>
      <c r="F63" s="17" t="s">
        <v>140</v>
      </c>
      <c r="G63" s="17" t="s">
        <v>451</v>
      </c>
      <c r="H63" s="17" t="s">
        <v>452</v>
      </c>
      <c r="I63" s="17" t="s">
        <v>453</v>
      </c>
      <c r="J63" s="17" t="s">
        <v>454</v>
      </c>
      <c r="K63" s="17" t="s">
        <v>89</v>
      </c>
      <c r="L63" s="20" t="s">
        <v>145</v>
      </c>
      <c r="M63" s="17" t="s">
        <v>455</v>
      </c>
      <c r="N63" s="19" t="s">
        <v>125</v>
      </c>
      <c r="O63" s="17" t="s">
        <v>93</v>
      </c>
      <c r="P63" s="17" t="s">
        <v>94</v>
      </c>
      <c r="Q63" s="17" t="s">
        <v>94</v>
      </c>
    </row>
    <row r="64" spans="1:17" ht="52.05" customHeight="1">
      <c r="A64" s="16" t="s">
        <v>456</v>
      </c>
      <c r="B64" s="17" t="s">
        <v>60</v>
      </c>
      <c r="C64" s="17" t="s">
        <v>450</v>
      </c>
      <c r="D64" s="16" t="s">
        <v>21</v>
      </c>
      <c r="E64" s="17" t="s">
        <v>41</v>
      </c>
      <c r="F64" s="17" t="s">
        <v>140</v>
      </c>
      <c r="G64" s="17" t="s">
        <v>451</v>
      </c>
      <c r="H64" s="17" t="s">
        <v>457</v>
      </c>
      <c r="I64" s="17" t="s">
        <v>453</v>
      </c>
      <c r="J64" s="17" t="s">
        <v>454</v>
      </c>
      <c r="K64" s="17" t="s">
        <v>89</v>
      </c>
      <c r="L64" s="20" t="s">
        <v>145</v>
      </c>
      <c r="M64" s="17" t="s">
        <v>455</v>
      </c>
      <c r="N64" s="19" t="s">
        <v>125</v>
      </c>
      <c r="O64" s="17" t="s">
        <v>93</v>
      </c>
      <c r="P64" s="17" t="s">
        <v>94</v>
      </c>
      <c r="Q64" s="17" t="s">
        <v>94</v>
      </c>
    </row>
    <row r="65" spans="1:17" ht="52.05" customHeight="1">
      <c r="A65" s="16" t="s">
        <v>458</v>
      </c>
      <c r="B65" s="17" t="s">
        <v>60</v>
      </c>
      <c r="C65" s="17" t="s">
        <v>450</v>
      </c>
      <c r="D65" s="16" t="s">
        <v>23</v>
      </c>
      <c r="E65" s="17" t="s">
        <v>41</v>
      </c>
      <c r="F65" s="17" t="s">
        <v>140</v>
      </c>
      <c r="G65" s="17" t="s">
        <v>451</v>
      </c>
      <c r="H65" s="17" t="s">
        <v>459</v>
      </c>
      <c r="I65" s="17" t="s">
        <v>453</v>
      </c>
      <c r="J65" s="17" t="s">
        <v>454</v>
      </c>
      <c r="K65" s="17" t="s">
        <v>89</v>
      </c>
      <c r="L65" s="20" t="s">
        <v>145</v>
      </c>
      <c r="M65" s="17" t="s">
        <v>455</v>
      </c>
      <c r="N65" s="19" t="s">
        <v>125</v>
      </c>
      <c r="O65" s="17" t="s">
        <v>93</v>
      </c>
      <c r="P65" s="17" t="s">
        <v>94</v>
      </c>
      <c r="Q65" s="17" t="s">
        <v>94</v>
      </c>
    </row>
    <row r="66" spans="1:17" ht="52.05" customHeight="1">
      <c r="A66" s="16" t="s">
        <v>460</v>
      </c>
      <c r="B66" s="17" t="s">
        <v>61</v>
      </c>
      <c r="C66" s="17" t="s">
        <v>461</v>
      </c>
      <c r="D66" s="16" t="s">
        <v>9</v>
      </c>
      <c r="E66" s="17" t="s">
        <v>83</v>
      </c>
      <c r="F66" s="17" t="s">
        <v>462</v>
      </c>
      <c r="G66" s="17" t="s">
        <v>463</v>
      </c>
      <c r="H66" s="17" t="s">
        <v>464</v>
      </c>
      <c r="I66" s="17" t="s">
        <v>465</v>
      </c>
      <c r="J66" s="17" t="s">
        <v>152</v>
      </c>
      <c r="K66" s="17" t="s">
        <v>89</v>
      </c>
      <c r="L66" s="17" t="s">
        <v>90</v>
      </c>
      <c r="M66" s="17" t="s">
        <v>466</v>
      </c>
      <c r="N66" s="18" t="s">
        <v>92</v>
      </c>
      <c r="O66" s="17" t="s">
        <v>93</v>
      </c>
      <c r="P66" s="17" t="s">
        <v>94</v>
      </c>
      <c r="Q66" s="17" t="s">
        <v>94</v>
      </c>
    </row>
    <row r="67" spans="1:17" ht="52.05" customHeight="1">
      <c r="A67" s="16" t="s">
        <v>467</v>
      </c>
      <c r="B67" s="17" t="s">
        <v>61</v>
      </c>
      <c r="C67" s="17" t="s">
        <v>461</v>
      </c>
      <c r="D67" s="16" t="s">
        <v>11</v>
      </c>
      <c r="E67" s="17" t="s">
        <v>83</v>
      </c>
      <c r="F67" s="17" t="s">
        <v>468</v>
      </c>
      <c r="G67" s="17" t="s">
        <v>463</v>
      </c>
      <c r="H67" s="17" t="s">
        <v>469</v>
      </c>
      <c r="I67" s="17" t="s">
        <v>470</v>
      </c>
      <c r="J67" s="17" t="s">
        <v>152</v>
      </c>
      <c r="K67" s="17" t="s">
        <v>89</v>
      </c>
      <c r="L67" s="17" t="s">
        <v>90</v>
      </c>
      <c r="M67" s="17" t="s">
        <v>471</v>
      </c>
      <c r="N67" s="18" t="s">
        <v>92</v>
      </c>
      <c r="O67" s="17" t="s">
        <v>93</v>
      </c>
      <c r="P67" s="17" t="s">
        <v>94</v>
      </c>
      <c r="Q67" s="17" t="s">
        <v>94</v>
      </c>
    </row>
    <row r="68" spans="1:17" ht="52.05" customHeight="1">
      <c r="A68" s="16" t="s">
        <v>472</v>
      </c>
      <c r="B68" s="17" t="s">
        <v>61</v>
      </c>
      <c r="C68" s="17" t="s">
        <v>473</v>
      </c>
      <c r="D68" s="16" t="s">
        <v>15</v>
      </c>
      <c r="E68" s="17" t="s">
        <v>43</v>
      </c>
      <c r="F68" s="17" t="s">
        <v>474</v>
      </c>
      <c r="G68" s="17" t="s">
        <v>463</v>
      </c>
      <c r="H68" s="17" t="s">
        <v>475</v>
      </c>
      <c r="I68" s="17" t="s">
        <v>476</v>
      </c>
      <c r="J68" s="17" t="s">
        <v>182</v>
      </c>
      <c r="K68" s="17" t="s">
        <v>89</v>
      </c>
      <c r="L68" s="17" t="s">
        <v>90</v>
      </c>
      <c r="M68" s="17" t="s">
        <v>477</v>
      </c>
      <c r="N68" s="18" t="s">
        <v>92</v>
      </c>
      <c r="O68" s="17" t="s">
        <v>93</v>
      </c>
      <c r="P68" s="17" t="s">
        <v>94</v>
      </c>
      <c r="Q68" s="17" t="s">
        <v>94</v>
      </c>
    </row>
    <row r="69" spans="1:17" ht="52.05" customHeight="1">
      <c r="A69" s="16" t="s">
        <v>478</v>
      </c>
      <c r="B69" s="17" t="s">
        <v>61</v>
      </c>
      <c r="C69" s="17" t="s">
        <v>295</v>
      </c>
      <c r="D69" s="16" t="s">
        <v>17</v>
      </c>
      <c r="E69" s="17" t="s">
        <v>43</v>
      </c>
      <c r="F69" s="17" t="s">
        <v>479</v>
      </c>
      <c r="G69" s="17" t="s">
        <v>463</v>
      </c>
      <c r="H69" s="17" t="s">
        <v>480</v>
      </c>
      <c r="I69" s="17" t="s">
        <v>481</v>
      </c>
      <c r="J69" s="17" t="s">
        <v>182</v>
      </c>
      <c r="K69" s="17" t="s">
        <v>89</v>
      </c>
      <c r="L69" s="17" t="s">
        <v>90</v>
      </c>
      <c r="M69" s="17" t="s">
        <v>477</v>
      </c>
      <c r="N69" s="18" t="s">
        <v>92</v>
      </c>
      <c r="O69" s="17" t="s">
        <v>93</v>
      </c>
      <c r="P69" s="17" t="s">
        <v>94</v>
      </c>
      <c r="Q69" s="17" t="s">
        <v>94</v>
      </c>
    </row>
    <row r="70" spans="1:17" ht="52.05" customHeight="1">
      <c r="A70" s="16" t="s">
        <v>482</v>
      </c>
      <c r="B70" s="17" t="s">
        <v>61</v>
      </c>
      <c r="C70" s="17" t="s">
        <v>193</v>
      </c>
      <c r="D70" s="16" t="s">
        <v>19</v>
      </c>
      <c r="E70" s="17" t="s">
        <v>41</v>
      </c>
      <c r="F70" s="17" t="s">
        <v>140</v>
      </c>
      <c r="G70" s="17" t="s">
        <v>483</v>
      </c>
      <c r="H70" s="17" t="s">
        <v>392</v>
      </c>
      <c r="I70" s="17" t="s">
        <v>484</v>
      </c>
      <c r="J70" s="17" t="s">
        <v>365</v>
      </c>
      <c r="K70" s="17" t="s">
        <v>89</v>
      </c>
      <c r="L70" s="20" t="s">
        <v>145</v>
      </c>
      <c r="M70" s="17" t="s">
        <v>485</v>
      </c>
      <c r="N70" s="18" t="s">
        <v>92</v>
      </c>
      <c r="O70" s="17" t="s">
        <v>93</v>
      </c>
      <c r="P70" s="17" t="s">
        <v>94</v>
      </c>
      <c r="Q70" s="17" t="s">
        <v>94</v>
      </c>
    </row>
    <row r="71" spans="1:17" ht="52.05" customHeight="1">
      <c r="A71" s="16" t="s">
        <v>486</v>
      </c>
      <c r="B71" s="17" t="s">
        <v>61</v>
      </c>
      <c r="C71" s="17" t="s">
        <v>193</v>
      </c>
      <c r="D71" s="16" t="s">
        <v>21</v>
      </c>
      <c r="E71" s="17" t="s">
        <v>41</v>
      </c>
      <c r="F71" s="17" t="s">
        <v>140</v>
      </c>
      <c r="G71" s="17" t="s">
        <v>483</v>
      </c>
      <c r="H71" s="17" t="s">
        <v>187</v>
      </c>
      <c r="I71" s="17" t="s">
        <v>193</v>
      </c>
      <c r="J71" s="17" t="s">
        <v>365</v>
      </c>
      <c r="K71" s="17" t="s">
        <v>89</v>
      </c>
      <c r="L71" s="20" t="s">
        <v>145</v>
      </c>
      <c r="M71" s="17" t="s">
        <v>485</v>
      </c>
      <c r="N71" s="18" t="s">
        <v>92</v>
      </c>
      <c r="O71" s="17" t="s">
        <v>93</v>
      </c>
      <c r="P71" s="17" t="s">
        <v>94</v>
      </c>
      <c r="Q71" s="17" t="s">
        <v>94</v>
      </c>
    </row>
    <row r="72" spans="1:17" ht="52.05" customHeight="1">
      <c r="A72" s="16" t="s">
        <v>487</v>
      </c>
      <c r="B72" s="17" t="s">
        <v>61</v>
      </c>
      <c r="C72" s="17" t="s">
        <v>193</v>
      </c>
      <c r="D72" s="16" t="s">
        <v>13</v>
      </c>
      <c r="E72" s="17" t="s">
        <v>41</v>
      </c>
      <c r="F72" s="17" t="s">
        <v>140</v>
      </c>
      <c r="G72" s="17" t="s">
        <v>483</v>
      </c>
      <c r="H72" s="17" t="s">
        <v>396</v>
      </c>
      <c r="I72" s="17" t="s">
        <v>193</v>
      </c>
      <c r="J72" s="17" t="s">
        <v>365</v>
      </c>
      <c r="K72" s="17" t="s">
        <v>89</v>
      </c>
      <c r="L72" s="20" t="s">
        <v>145</v>
      </c>
      <c r="M72" s="17" t="s">
        <v>485</v>
      </c>
      <c r="N72" s="19" t="s">
        <v>125</v>
      </c>
      <c r="O72" s="17" t="s">
        <v>93</v>
      </c>
      <c r="P72" s="17" t="s">
        <v>94</v>
      </c>
      <c r="Q72" s="17" t="s">
        <v>94</v>
      </c>
    </row>
    <row r="73" spans="1:17" ht="52.05" customHeight="1">
      <c r="A73" s="16" t="s">
        <v>488</v>
      </c>
      <c r="B73" s="17" t="s">
        <v>61</v>
      </c>
      <c r="C73" s="17" t="s">
        <v>193</v>
      </c>
      <c r="D73" s="16" t="s">
        <v>23</v>
      </c>
      <c r="E73" s="17" t="s">
        <v>41</v>
      </c>
      <c r="F73" s="17" t="s">
        <v>140</v>
      </c>
      <c r="G73" s="17" t="s">
        <v>483</v>
      </c>
      <c r="H73" s="17" t="s">
        <v>192</v>
      </c>
      <c r="I73" s="17" t="s">
        <v>193</v>
      </c>
      <c r="J73" s="17" t="s">
        <v>365</v>
      </c>
      <c r="K73" s="17" t="s">
        <v>89</v>
      </c>
      <c r="L73" s="20" t="s">
        <v>145</v>
      </c>
      <c r="M73" s="17" t="s">
        <v>485</v>
      </c>
      <c r="N73" s="19" t="s">
        <v>125</v>
      </c>
      <c r="O73" s="17" t="s">
        <v>93</v>
      </c>
      <c r="P73" s="17" t="s">
        <v>94</v>
      </c>
      <c r="Q73" s="17" t="s">
        <v>94</v>
      </c>
    </row>
    <row r="74" spans="1:17" ht="52.05" customHeight="1">
      <c r="A74" s="16" t="s">
        <v>489</v>
      </c>
      <c r="B74" s="17" t="s">
        <v>61</v>
      </c>
      <c r="C74" s="17" t="s">
        <v>490</v>
      </c>
      <c r="D74" s="16" t="s">
        <v>9</v>
      </c>
      <c r="E74" s="17" t="s">
        <v>247</v>
      </c>
      <c r="F74" s="17" t="s">
        <v>491</v>
      </c>
      <c r="G74" s="17" t="s">
        <v>492</v>
      </c>
      <c r="H74" s="17" t="s">
        <v>493</v>
      </c>
      <c r="I74" s="17" t="s">
        <v>494</v>
      </c>
      <c r="J74" s="17" t="s">
        <v>152</v>
      </c>
      <c r="K74" s="17" t="s">
        <v>89</v>
      </c>
      <c r="L74" s="17" t="s">
        <v>90</v>
      </c>
      <c r="M74" s="17" t="s">
        <v>495</v>
      </c>
      <c r="N74" s="18" t="s">
        <v>92</v>
      </c>
      <c r="O74" s="17" t="s">
        <v>93</v>
      </c>
      <c r="P74" s="17" t="s">
        <v>94</v>
      </c>
      <c r="Q74" s="17" t="s">
        <v>94</v>
      </c>
    </row>
    <row r="75" spans="1:17" ht="52.05" customHeight="1">
      <c r="A75" s="16" t="s">
        <v>496</v>
      </c>
      <c r="B75" s="17" t="s">
        <v>61</v>
      </c>
      <c r="C75" s="17" t="s">
        <v>497</v>
      </c>
      <c r="D75" s="16" t="s">
        <v>11</v>
      </c>
      <c r="E75" s="17" t="s">
        <v>247</v>
      </c>
      <c r="F75" s="17" t="s">
        <v>498</v>
      </c>
      <c r="G75" s="17" t="s">
        <v>499</v>
      </c>
      <c r="H75" s="17" t="s">
        <v>500</v>
      </c>
      <c r="I75" s="17" t="s">
        <v>501</v>
      </c>
      <c r="J75" s="17" t="s">
        <v>152</v>
      </c>
      <c r="K75" s="17" t="s">
        <v>89</v>
      </c>
      <c r="L75" s="17" t="s">
        <v>90</v>
      </c>
      <c r="M75" s="17" t="s">
        <v>502</v>
      </c>
      <c r="N75" s="19" t="s">
        <v>125</v>
      </c>
      <c r="O75" s="17" t="s">
        <v>93</v>
      </c>
      <c r="P75" s="17" t="s">
        <v>94</v>
      </c>
      <c r="Q75" s="17" t="s">
        <v>94</v>
      </c>
    </row>
    <row r="76" spans="1:17" ht="52.05" customHeight="1">
      <c r="A76" s="16" t="s">
        <v>503</v>
      </c>
      <c r="B76" s="17" t="s">
        <v>62</v>
      </c>
      <c r="C76" s="17" t="s">
        <v>195</v>
      </c>
      <c r="D76" s="16" t="s">
        <v>9</v>
      </c>
      <c r="E76" s="17" t="s">
        <v>247</v>
      </c>
      <c r="F76" s="17" t="s">
        <v>504</v>
      </c>
      <c r="G76" s="17" t="s">
        <v>505</v>
      </c>
      <c r="H76" s="17" t="s">
        <v>506</v>
      </c>
      <c r="I76" s="17" t="s">
        <v>507</v>
      </c>
      <c r="J76" s="17" t="s">
        <v>330</v>
      </c>
      <c r="K76" s="17" t="s">
        <v>507</v>
      </c>
      <c r="L76" s="17" t="s">
        <v>90</v>
      </c>
      <c r="M76" s="17" t="s">
        <v>508</v>
      </c>
      <c r="N76" s="18" t="s">
        <v>92</v>
      </c>
      <c r="O76" s="17" t="s">
        <v>93</v>
      </c>
      <c r="P76" s="17" t="s">
        <v>94</v>
      </c>
      <c r="Q76" s="17" t="s">
        <v>94</v>
      </c>
    </row>
    <row r="77" spans="1:17" ht="52.05" customHeight="1">
      <c r="A77" s="16" t="s">
        <v>509</v>
      </c>
      <c r="B77" s="17" t="s">
        <v>62</v>
      </c>
      <c r="C77" s="17" t="s">
        <v>195</v>
      </c>
      <c r="D77" s="16" t="s">
        <v>15</v>
      </c>
      <c r="E77" s="17" t="s">
        <v>247</v>
      </c>
      <c r="F77" s="17" t="s">
        <v>510</v>
      </c>
      <c r="G77" s="17" t="s">
        <v>505</v>
      </c>
      <c r="H77" s="17" t="s">
        <v>511</v>
      </c>
      <c r="I77" s="17" t="s">
        <v>507</v>
      </c>
      <c r="J77" s="17" t="s">
        <v>330</v>
      </c>
      <c r="K77" s="17" t="s">
        <v>507</v>
      </c>
      <c r="L77" s="17" t="s">
        <v>90</v>
      </c>
      <c r="M77" s="17" t="s">
        <v>512</v>
      </c>
      <c r="N77" s="18" t="s">
        <v>92</v>
      </c>
      <c r="O77" s="17" t="s">
        <v>93</v>
      </c>
      <c r="P77" s="17" t="s">
        <v>94</v>
      </c>
      <c r="Q77" s="17" t="s">
        <v>94</v>
      </c>
    </row>
    <row r="78" spans="1:17" ht="52.05" customHeight="1">
      <c r="A78" s="16" t="s">
        <v>513</v>
      </c>
      <c r="B78" s="17" t="s">
        <v>62</v>
      </c>
      <c r="C78" s="17" t="s">
        <v>195</v>
      </c>
      <c r="D78" s="16" t="s">
        <v>17</v>
      </c>
      <c r="E78" s="17" t="s">
        <v>247</v>
      </c>
      <c r="F78" s="17" t="s">
        <v>510</v>
      </c>
      <c r="G78" s="17" t="s">
        <v>505</v>
      </c>
      <c r="H78" s="17" t="s">
        <v>514</v>
      </c>
      <c r="I78" s="17" t="s">
        <v>507</v>
      </c>
      <c r="J78" s="17" t="s">
        <v>330</v>
      </c>
      <c r="K78" s="17" t="s">
        <v>507</v>
      </c>
      <c r="L78" s="17" t="s">
        <v>90</v>
      </c>
      <c r="M78" s="17" t="s">
        <v>512</v>
      </c>
      <c r="N78" s="18" t="s">
        <v>92</v>
      </c>
      <c r="O78" s="17" t="s">
        <v>93</v>
      </c>
      <c r="P78" s="17" t="s">
        <v>94</v>
      </c>
      <c r="Q78" s="17" t="s">
        <v>94</v>
      </c>
    </row>
    <row r="79" spans="1:17" ht="52.05" customHeight="1">
      <c r="A79" s="16" t="s">
        <v>515</v>
      </c>
      <c r="B79" s="17" t="s">
        <v>62</v>
      </c>
      <c r="C79" s="17" t="s">
        <v>516</v>
      </c>
      <c r="D79" s="16" t="s">
        <v>19</v>
      </c>
      <c r="E79" s="17" t="s">
        <v>41</v>
      </c>
      <c r="F79" s="17" t="s">
        <v>140</v>
      </c>
      <c r="G79" s="17" t="s">
        <v>505</v>
      </c>
      <c r="H79" s="17" t="s">
        <v>517</v>
      </c>
      <c r="I79" s="17" t="s">
        <v>518</v>
      </c>
      <c r="J79" s="17" t="s">
        <v>365</v>
      </c>
      <c r="K79" s="17" t="s">
        <v>519</v>
      </c>
      <c r="L79" s="20" t="s">
        <v>145</v>
      </c>
      <c r="M79" s="17" t="s">
        <v>508</v>
      </c>
      <c r="N79" s="18" t="s">
        <v>92</v>
      </c>
      <c r="O79" s="17" t="s">
        <v>93</v>
      </c>
      <c r="P79" s="17" t="s">
        <v>94</v>
      </c>
      <c r="Q79" s="17" t="s">
        <v>94</v>
      </c>
    </row>
    <row r="80" spans="1:17" ht="52.05" customHeight="1">
      <c r="A80" s="16" t="s">
        <v>520</v>
      </c>
      <c r="B80" s="17" t="s">
        <v>62</v>
      </c>
      <c r="C80" s="17" t="s">
        <v>516</v>
      </c>
      <c r="D80" s="16" t="s">
        <v>21</v>
      </c>
      <c r="E80" s="17" t="s">
        <v>41</v>
      </c>
      <c r="F80" s="17" t="s">
        <v>140</v>
      </c>
      <c r="G80" s="17" t="s">
        <v>505</v>
      </c>
      <c r="H80" s="17" t="s">
        <v>521</v>
      </c>
      <c r="I80" s="17" t="s">
        <v>393</v>
      </c>
      <c r="J80" s="17" t="s">
        <v>365</v>
      </c>
      <c r="K80" s="17" t="s">
        <v>519</v>
      </c>
      <c r="L80" s="20" t="s">
        <v>145</v>
      </c>
      <c r="M80" s="17" t="s">
        <v>508</v>
      </c>
      <c r="N80" s="18" t="s">
        <v>92</v>
      </c>
      <c r="O80" s="17" t="s">
        <v>93</v>
      </c>
      <c r="P80" s="17" t="s">
        <v>94</v>
      </c>
      <c r="Q80" s="17" t="s">
        <v>94</v>
      </c>
    </row>
    <row r="81" spans="1:17" ht="52.05" customHeight="1">
      <c r="A81" s="16" t="s">
        <v>522</v>
      </c>
      <c r="B81" s="17" t="s">
        <v>62</v>
      </c>
      <c r="C81" s="17" t="s">
        <v>193</v>
      </c>
      <c r="D81" s="16" t="s">
        <v>13</v>
      </c>
      <c r="E81" s="17" t="s">
        <v>41</v>
      </c>
      <c r="F81" s="17" t="s">
        <v>140</v>
      </c>
      <c r="G81" s="17" t="s">
        <v>523</v>
      </c>
      <c r="H81" s="17" t="s">
        <v>396</v>
      </c>
      <c r="I81" s="17" t="s">
        <v>524</v>
      </c>
      <c r="J81" s="17" t="s">
        <v>365</v>
      </c>
      <c r="K81" s="17" t="s">
        <v>89</v>
      </c>
      <c r="L81" s="20" t="s">
        <v>145</v>
      </c>
      <c r="M81" s="17" t="s">
        <v>525</v>
      </c>
      <c r="N81" s="18" t="s">
        <v>92</v>
      </c>
      <c r="O81" s="17" t="s">
        <v>93</v>
      </c>
      <c r="P81" s="17" t="s">
        <v>94</v>
      </c>
      <c r="Q81" s="17" t="s">
        <v>94</v>
      </c>
    </row>
    <row r="82" spans="1:17" ht="52.05" customHeight="1">
      <c r="A82" s="16" t="s">
        <v>526</v>
      </c>
      <c r="B82" s="17" t="s">
        <v>62</v>
      </c>
      <c r="C82" s="17" t="s">
        <v>516</v>
      </c>
      <c r="D82" s="16" t="s">
        <v>23</v>
      </c>
      <c r="E82" s="17" t="s">
        <v>41</v>
      </c>
      <c r="F82" s="17" t="s">
        <v>140</v>
      </c>
      <c r="G82" s="17" t="s">
        <v>505</v>
      </c>
      <c r="H82" s="17" t="s">
        <v>527</v>
      </c>
      <c r="I82" s="17" t="s">
        <v>393</v>
      </c>
      <c r="J82" s="17" t="s">
        <v>365</v>
      </c>
      <c r="K82" s="17" t="s">
        <v>519</v>
      </c>
      <c r="L82" s="20" t="s">
        <v>145</v>
      </c>
      <c r="M82" s="17" t="s">
        <v>508</v>
      </c>
      <c r="N82" s="19" t="s">
        <v>125</v>
      </c>
      <c r="O82" s="17" t="s">
        <v>93</v>
      </c>
      <c r="P82" s="17" t="s">
        <v>94</v>
      </c>
      <c r="Q82" s="17" t="s">
        <v>94</v>
      </c>
    </row>
    <row r="83" spans="1:17" ht="52.05" customHeight="1">
      <c r="A83" s="16" t="s">
        <v>528</v>
      </c>
      <c r="B83" s="17" t="s">
        <v>62</v>
      </c>
      <c r="C83" s="17" t="s">
        <v>529</v>
      </c>
      <c r="D83" s="16" t="s">
        <v>19</v>
      </c>
      <c r="E83" s="17" t="s">
        <v>43</v>
      </c>
      <c r="F83" s="17" t="s">
        <v>530</v>
      </c>
      <c r="G83" s="17" t="s">
        <v>523</v>
      </c>
      <c r="H83" s="17" t="s">
        <v>531</v>
      </c>
      <c r="I83" s="17" t="s">
        <v>532</v>
      </c>
      <c r="J83" s="17" t="s">
        <v>182</v>
      </c>
      <c r="K83" s="17" t="s">
        <v>89</v>
      </c>
      <c r="L83" s="17" t="s">
        <v>90</v>
      </c>
      <c r="M83" s="17" t="s">
        <v>533</v>
      </c>
      <c r="N83" s="18" t="s">
        <v>92</v>
      </c>
      <c r="O83" s="17" t="s">
        <v>93</v>
      </c>
      <c r="P83" s="17" t="s">
        <v>94</v>
      </c>
      <c r="Q83" s="17" t="s">
        <v>94</v>
      </c>
    </row>
    <row r="84" spans="1:17" ht="52.05" customHeight="1">
      <c r="A84" s="16" t="s">
        <v>534</v>
      </c>
      <c r="B84" s="17" t="s">
        <v>62</v>
      </c>
      <c r="C84" s="17" t="s">
        <v>535</v>
      </c>
      <c r="D84" s="16" t="s">
        <v>17</v>
      </c>
      <c r="E84" s="17" t="s">
        <v>41</v>
      </c>
      <c r="F84" s="17" t="s">
        <v>536</v>
      </c>
      <c r="G84" s="17" t="s">
        <v>537</v>
      </c>
      <c r="H84" s="17" t="s">
        <v>538</v>
      </c>
      <c r="I84" s="17" t="s">
        <v>539</v>
      </c>
      <c r="J84" s="17" t="s">
        <v>365</v>
      </c>
      <c r="K84" s="17" t="s">
        <v>519</v>
      </c>
      <c r="L84" s="20" t="s">
        <v>145</v>
      </c>
      <c r="M84" s="17" t="s">
        <v>540</v>
      </c>
      <c r="N84" s="18" t="s">
        <v>92</v>
      </c>
      <c r="O84" s="17" t="s">
        <v>93</v>
      </c>
      <c r="P84" s="17" t="s">
        <v>94</v>
      </c>
      <c r="Q84" s="17" t="s">
        <v>94</v>
      </c>
    </row>
    <row r="85" spans="1:17" ht="52.05" customHeight="1">
      <c r="A85" s="16" t="s">
        <v>541</v>
      </c>
      <c r="B85" s="17" t="s">
        <v>62</v>
      </c>
      <c r="C85" s="17" t="s">
        <v>542</v>
      </c>
      <c r="D85" s="16" t="s">
        <v>9</v>
      </c>
      <c r="E85" s="17" t="s">
        <v>41</v>
      </c>
      <c r="F85" s="17" t="s">
        <v>543</v>
      </c>
      <c r="G85" s="17" t="s">
        <v>544</v>
      </c>
      <c r="H85" s="17" t="s">
        <v>545</v>
      </c>
      <c r="I85" s="17" t="s">
        <v>546</v>
      </c>
      <c r="J85" s="17" t="s">
        <v>547</v>
      </c>
      <c r="K85" s="17" t="s">
        <v>519</v>
      </c>
      <c r="L85" s="20" t="s">
        <v>145</v>
      </c>
      <c r="M85" s="17" t="s">
        <v>548</v>
      </c>
      <c r="N85" s="19" t="s">
        <v>125</v>
      </c>
      <c r="O85" s="17" t="s">
        <v>93</v>
      </c>
      <c r="P85" s="17" t="s">
        <v>94</v>
      </c>
      <c r="Q85" s="17" t="s">
        <v>94</v>
      </c>
    </row>
    <row r="86" spans="1:17" ht="52.05" customHeight="1">
      <c r="A86" s="16" t="s">
        <v>549</v>
      </c>
      <c r="B86" s="17" t="s">
        <v>62</v>
      </c>
      <c r="C86" s="17" t="s">
        <v>550</v>
      </c>
      <c r="D86" s="16" t="s">
        <v>19</v>
      </c>
      <c r="E86" s="17" t="s">
        <v>41</v>
      </c>
      <c r="F86" s="17" t="s">
        <v>551</v>
      </c>
      <c r="G86" s="17" t="s">
        <v>552</v>
      </c>
      <c r="H86" s="17" t="s">
        <v>553</v>
      </c>
      <c r="I86" s="17" t="s">
        <v>554</v>
      </c>
      <c r="J86" s="17" t="s">
        <v>555</v>
      </c>
      <c r="K86" s="17" t="s">
        <v>358</v>
      </c>
      <c r="L86" s="20" t="s">
        <v>145</v>
      </c>
      <c r="M86" s="17" t="s">
        <v>556</v>
      </c>
      <c r="N86" s="19" t="s">
        <v>125</v>
      </c>
      <c r="O86" s="17" t="s">
        <v>93</v>
      </c>
      <c r="P86" s="17" t="s">
        <v>94</v>
      </c>
      <c r="Q86" s="17" t="s">
        <v>94</v>
      </c>
    </row>
    <row r="87" spans="1:17" ht="52.05" customHeight="1">
      <c r="A87" s="16" t="s">
        <v>557</v>
      </c>
      <c r="B87" s="17" t="s">
        <v>64</v>
      </c>
      <c r="C87" s="17" t="s">
        <v>195</v>
      </c>
      <c r="D87" s="16" t="s">
        <v>9</v>
      </c>
      <c r="E87" s="17" t="s">
        <v>247</v>
      </c>
      <c r="F87" s="17" t="s">
        <v>558</v>
      </c>
      <c r="G87" s="17" t="s">
        <v>559</v>
      </c>
      <c r="H87" s="17" t="s">
        <v>560</v>
      </c>
      <c r="I87" s="17" t="s">
        <v>561</v>
      </c>
      <c r="J87" s="17" t="s">
        <v>562</v>
      </c>
      <c r="K87" s="17" t="s">
        <v>563</v>
      </c>
      <c r="L87" s="17" t="s">
        <v>90</v>
      </c>
      <c r="M87" s="17" t="s">
        <v>564</v>
      </c>
      <c r="N87" s="18" t="s">
        <v>92</v>
      </c>
      <c r="O87" s="17" t="s">
        <v>93</v>
      </c>
      <c r="P87" s="17" t="s">
        <v>94</v>
      </c>
      <c r="Q87" s="17" t="s">
        <v>94</v>
      </c>
    </row>
    <row r="88" spans="1:17" ht="52.05" customHeight="1">
      <c r="A88" s="16" t="s">
        <v>565</v>
      </c>
      <c r="B88" s="17" t="s">
        <v>64</v>
      </c>
      <c r="C88" s="17" t="s">
        <v>566</v>
      </c>
      <c r="D88" s="16" t="s">
        <v>15</v>
      </c>
      <c r="E88" s="17" t="s">
        <v>247</v>
      </c>
      <c r="F88" s="17" t="s">
        <v>567</v>
      </c>
      <c r="G88" s="17" t="s">
        <v>568</v>
      </c>
      <c r="H88" s="17" t="s">
        <v>569</v>
      </c>
      <c r="I88" s="17" t="s">
        <v>570</v>
      </c>
      <c r="J88" s="17" t="s">
        <v>571</v>
      </c>
      <c r="K88" s="17" t="s">
        <v>572</v>
      </c>
      <c r="L88" s="17" t="s">
        <v>90</v>
      </c>
      <c r="M88" s="17" t="s">
        <v>573</v>
      </c>
      <c r="N88" s="18" t="s">
        <v>92</v>
      </c>
      <c r="O88" s="17" t="s">
        <v>93</v>
      </c>
      <c r="P88" s="17" t="s">
        <v>94</v>
      </c>
      <c r="Q88" s="17" t="s">
        <v>94</v>
      </c>
    </row>
    <row r="89" spans="1:17" ht="52.05" customHeight="1">
      <c r="A89" s="16" t="s">
        <v>574</v>
      </c>
      <c r="B89" s="17" t="s">
        <v>64</v>
      </c>
      <c r="C89" s="17" t="s">
        <v>575</v>
      </c>
      <c r="D89" s="16" t="s">
        <v>11</v>
      </c>
      <c r="E89" s="17" t="s">
        <v>247</v>
      </c>
      <c r="F89" s="17" t="s">
        <v>576</v>
      </c>
      <c r="G89" s="17" t="s">
        <v>577</v>
      </c>
      <c r="H89" s="17" t="s">
        <v>578</v>
      </c>
      <c r="I89" s="17" t="s">
        <v>579</v>
      </c>
      <c r="J89" s="17" t="s">
        <v>152</v>
      </c>
      <c r="K89" s="17" t="s">
        <v>580</v>
      </c>
      <c r="L89" s="17" t="s">
        <v>90</v>
      </c>
      <c r="M89" s="17" t="s">
        <v>581</v>
      </c>
      <c r="N89" s="18" t="s">
        <v>92</v>
      </c>
      <c r="O89" s="17" t="s">
        <v>93</v>
      </c>
      <c r="P89" s="17" t="s">
        <v>94</v>
      </c>
      <c r="Q89" s="17" t="s">
        <v>94</v>
      </c>
    </row>
    <row r="90" spans="1:17" ht="52.05" customHeight="1">
      <c r="A90" s="16" t="s">
        <v>582</v>
      </c>
      <c r="B90" s="17" t="s">
        <v>64</v>
      </c>
      <c r="C90" s="17" t="s">
        <v>583</v>
      </c>
      <c r="D90" s="16" t="s">
        <v>15</v>
      </c>
      <c r="E90" s="17" t="s">
        <v>41</v>
      </c>
      <c r="F90" s="17" t="s">
        <v>584</v>
      </c>
      <c r="G90" s="17" t="s">
        <v>577</v>
      </c>
      <c r="H90" s="17" t="s">
        <v>585</v>
      </c>
      <c r="I90" s="17" t="s">
        <v>586</v>
      </c>
      <c r="J90" s="17" t="s">
        <v>365</v>
      </c>
      <c r="K90" s="17" t="s">
        <v>358</v>
      </c>
      <c r="L90" s="20" t="s">
        <v>145</v>
      </c>
      <c r="M90" s="17" t="s">
        <v>581</v>
      </c>
      <c r="N90" s="18" t="s">
        <v>92</v>
      </c>
      <c r="O90" s="17" t="s">
        <v>93</v>
      </c>
      <c r="P90" s="17" t="s">
        <v>94</v>
      </c>
      <c r="Q90" s="17" t="s">
        <v>94</v>
      </c>
    </row>
    <row r="91" spans="1:17" ht="52.05" customHeight="1">
      <c r="A91" s="16" t="s">
        <v>587</v>
      </c>
      <c r="B91" s="17" t="s">
        <v>64</v>
      </c>
      <c r="C91" s="17" t="s">
        <v>588</v>
      </c>
      <c r="D91" s="16" t="s">
        <v>17</v>
      </c>
      <c r="E91" s="17" t="s">
        <v>247</v>
      </c>
      <c r="F91" s="17" t="s">
        <v>589</v>
      </c>
      <c r="G91" s="17" t="s">
        <v>590</v>
      </c>
      <c r="H91" s="17" t="s">
        <v>591</v>
      </c>
      <c r="I91" s="17" t="s">
        <v>592</v>
      </c>
      <c r="J91" s="17" t="s">
        <v>152</v>
      </c>
      <c r="K91" s="17" t="s">
        <v>593</v>
      </c>
      <c r="L91" s="17" t="s">
        <v>90</v>
      </c>
      <c r="M91" s="17" t="s">
        <v>594</v>
      </c>
      <c r="N91" s="19" t="s">
        <v>125</v>
      </c>
      <c r="O91" s="17" t="s">
        <v>93</v>
      </c>
      <c r="P91" s="17" t="s">
        <v>94</v>
      </c>
      <c r="Q91" s="17" t="s">
        <v>94</v>
      </c>
    </row>
    <row r="92" spans="1:17" ht="52.05" customHeight="1">
      <c r="A92" s="16" t="s">
        <v>595</v>
      </c>
      <c r="B92" s="17" t="s">
        <v>64</v>
      </c>
      <c r="C92" s="17" t="s">
        <v>596</v>
      </c>
      <c r="D92" s="16" t="s">
        <v>15</v>
      </c>
      <c r="E92" s="17" t="s">
        <v>41</v>
      </c>
      <c r="F92" s="17" t="s">
        <v>597</v>
      </c>
      <c r="G92" s="17" t="s">
        <v>598</v>
      </c>
      <c r="H92" s="17" t="s">
        <v>599</v>
      </c>
      <c r="I92" s="17" t="s">
        <v>546</v>
      </c>
      <c r="J92" s="17" t="s">
        <v>600</v>
      </c>
      <c r="K92" s="17" t="s">
        <v>519</v>
      </c>
      <c r="L92" s="20" t="s">
        <v>145</v>
      </c>
      <c r="M92" s="17" t="s">
        <v>601</v>
      </c>
      <c r="N92" s="19" t="s">
        <v>125</v>
      </c>
      <c r="O92" s="17" t="s">
        <v>93</v>
      </c>
      <c r="P92" s="17" t="s">
        <v>94</v>
      </c>
      <c r="Q92" s="17" t="s">
        <v>94</v>
      </c>
    </row>
    <row r="93" spans="1:17" ht="52.05" customHeight="1">
      <c r="A93" s="16" t="s">
        <v>602</v>
      </c>
      <c r="B93" s="17" t="s">
        <v>64</v>
      </c>
      <c r="C93" s="17" t="s">
        <v>529</v>
      </c>
      <c r="D93" s="16" t="s">
        <v>19</v>
      </c>
      <c r="E93" s="17" t="s">
        <v>43</v>
      </c>
      <c r="F93" s="17" t="s">
        <v>603</v>
      </c>
      <c r="G93" s="17" t="s">
        <v>604</v>
      </c>
      <c r="H93" s="17" t="s">
        <v>605</v>
      </c>
      <c r="I93" s="17" t="s">
        <v>606</v>
      </c>
      <c r="J93" s="17" t="s">
        <v>182</v>
      </c>
      <c r="K93" s="17" t="s">
        <v>89</v>
      </c>
      <c r="L93" s="17" t="s">
        <v>90</v>
      </c>
      <c r="M93" s="17" t="s">
        <v>607</v>
      </c>
      <c r="N93" s="18" t="s">
        <v>92</v>
      </c>
      <c r="O93" s="17" t="s">
        <v>93</v>
      </c>
      <c r="P93" s="17" t="s">
        <v>94</v>
      </c>
      <c r="Q93" s="17" t="s">
        <v>94</v>
      </c>
    </row>
    <row r="94" spans="1:17" ht="52.05" customHeight="1">
      <c r="A94" s="16" t="s">
        <v>608</v>
      </c>
      <c r="B94" s="17" t="s">
        <v>64</v>
      </c>
      <c r="C94" s="17" t="s">
        <v>193</v>
      </c>
      <c r="D94" s="16" t="s">
        <v>13</v>
      </c>
      <c r="E94" s="17" t="s">
        <v>41</v>
      </c>
      <c r="F94" s="17" t="s">
        <v>140</v>
      </c>
      <c r="G94" s="17" t="s">
        <v>604</v>
      </c>
      <c r="H94" s="17" t="s">
        <v>396</v>
      </c>
      <c r="I94" s="17" t="s">
        <v>524</v>
      </c>
      <c r="J94" s="17" t="s">
        <v>365</v>
      </c>
      <c r="K94" s="17" t="s">
        <v>89</v>
      </c>
      <c r="L94" s="20" t="s">
        <v>145</v>
      </c>
      <c r="M94" s="17" t="s">
        <v>609</v>
      </c>
      <c r="N94" s="18" t="s">
        <v>92</v>
      </c>
      <c r="O94" s="17" t="s">
        <v>93</v>
      </c>
      <c r="P94" s="17" t="s">
        <v>94</v>
      </c>
      <c r="Q94" s="17" t="s">
        <v>94</v>
      </c>
    </row>
    <row r="95" spans="1:17" ht="52.05" customHeight="1">
      <c r="A95" s="16" t="s">
        <v>610</v>
      </c>
      <c r="B95" s="17" t="s">
        <v>64</v>
      </c>
      <c r="C95" s="17" t="s">
        <v>529</v>
      </c>
      <c r="D95" s="16" t="s">
        <v>21</v>
      </c>
      <c r="E95" s="17" t="s">
        <v>43</v>
      </c>
      <c r="F95" s="17" t="s">
        <v>611</v>
      </c>
      <c r="G95" s="17" t="s">
        <v>604</v>
      </c>
      <c r="H95" s="17" t="s">
        <v>612</v>
      </c>
      <c r="I95" s="17" t="s">
        <v>613</v>
      </c>
      <c r="J95" s="17" t="s">
        <v>182</v>
      </c>
      <c r="K95" s="17" t="s">
        <v>89</v>
      </c>
      <c r="L95" s="17" t="s">
        <v>90</v>
      </c>
      <c r="M95" s="17" t="s">
        <v>607</v>
      </c>
      <c r="N95" s="19" t="s">
        <v>125</v>
      </c>
      <c r="O95" s="17" t="s">
        <v>93</v>
      </c>
      <c r="P95" s="17" t="s">
        <v>94</v>
      </c>
      <c r="Q95" s="17" t="s">
        <v>94</v>
      </c>
    </row>
    <row r="96" spans="1:17" ht="52.05" customHeight="1">
      <c r="A96" s="16" t="s">
        <v>614</v>
      </c>
      <c r="B96" s="17" t="s">
        <v>64</v>
      </c>
      <c r="C96" s="17" t="s">
        <v>195</v>
      </c>
      <c r="D96" s="16" t="s">
        <v>11</v>
      </c>
      <c r="E96" s="17" t="s">
        <v>247</v>
      </c>
      <c r="F96" s="17" t="s">
        <v>140</v>
      </c>
      <c r="G96" s="17" t="s">
        <v>559</v>
      </c>
      <c r="H96" s="17" t="s">
        <v>615</v>
      </c>
      <c r="I96" s="17" t="s">
        <v>616</v>
      </c>
      <c r="J96" s="17" t="s">
        <v>330</v>
      </c>
      <c r="K96" s="17" t="s">
        <v>563</v>
      </c>
      <c r="L96" s="17" t="s">
        <v>90</v>
      </c>
      <c r="M96" s="17" t="s">
        <v>617</v>
      </c>
      <c r="N96" s="19" t="s">
        <v>125</v>
      </c>
      <c r="O96" s="17" t="s">
        <v>93</v>
      </c>
      <c r="P96" s="17" t="s">
        <v>94</v>
      </c>
      <c r="Q96" s="17" t="s">
        <v>94</v>
      </c>
    </row>
    <row r="97" spans="1:17" ht="52.05" customHeight="1">
      <c r="A97" s="16" t="s">
        <v>618</v>
      </c>
      <c r="B97" s="17" t="s">
        <v>65</v>
      </c>
      <c r="C97" s="17" t="s">
        <v>619</v>
      </c>
      <c r="D97" s="16" t="s">
        <v>9</v>
      </c>
      <c r="E97" s="17" t="s">
        <v>247</v>
      </c>
      <c r="F97" s="17" t="s">
        <v>620</v>
      </c>
      <c r="G97" s="17" t="s">
        <v>621</v>
      </c>
      <c r="H97" s="17" t="s">
        <v>622</v>
      </c>
      <c r="I97" s="17" t="s">
        <v>623</v>
      </c>
      <c r="J97" s="17" t="s">
        <v>624</v>
      </c>
      <c r="K97" s="17" t="s">
        <v>625</v>
      </c>
      <c r="L97" s="17" t="s">
        <v>90</v>
      </c>
      <c r="M97" s="17" t="s">
        <v>626</v>
      </c>
      <c r="N97" s="18" t="s">
        <v>92</v>
      </c>
      <c r="O97" s="17" t="s">
        <v>93</v>
      </c>
      <c r="P97" s="17" t="s">
        <v>94</v>
      </c>
      <c r="Q97" s="17" t="s">
        <v>94</v>
      </c>
    </row>
    <row r="98" spans="1:17" ht="52.05" customHeight="1">
      <c r="A98" s="16" t="s">
        <v>627</v>
      </c>
      <c r="B98" s="17" t="s">
        <v>65</v>
      </c>
      <c r="C98" s="17" t="s">
        <v>619</v>
      </c>
      <c r="D98" s="16" t="s">
        <v>11</v>
      </c>
      <c r="E98" s="17" t="s">
        <v>247</v>
      </c>
      <c r="F98" s="17" t="s">
        <v>628</v>
      </c>
      <c r="G98" s="17" t="s">
        <v>621</v>
      </c>
      <c r="H98" s="17" t="s">
        <v>629</v>
      </c>
      <c r="I98" s="17" t="s">
        <v>630</v>
      </c>
      <c r="J98" s="17" t="s">
        <v>152</v>
      </c>
      <c r="K98" s="17" t="s">
        <v>631</v>
      </c>
      <c r="L98" s="17" t="s">
        <v>90</v>
      </c>
      <c r="M98" s="17" t="s">
        <v>626</v>
      </c>
      <c r="N98" s="18" t="s">
        <v>92</v>
      </c>
      <c r="O98" s="17" t="s">
        <v>93</v>
      </c>
      <c r="P98" s="17" t="s">
        <v>94</v>
      </c>
      <c r="Q98" s="17" t="s">
        <v>94</v>
      </c>
    </row>
    <row r="99" spans="1:17" ht="52.05" customHeight="1">
      <c r="A99" s="16" t="s">
        <v>632</v>
      </c>
      <c r="B99" s="17" t="s">
        <v>65</v>
      </c>
      <c r="C99" s="17" t="s">
        <v>633</v>
      </c>
      <c r="D99" s="16" t="s">
        <v>15</v>
      </c>
      <c r="E99" s="17" t="s">
        <v>41</v>
      </c>
      <c r="F99" s="17" t="s">
        <v>140</v>
      </c>
      <c r="G99" s="17" t="s">
        <v>634</v>
      </c>
      <c r="H99" s="17" t="s">
        <v>635</v>
      </c>
      <c r="I99" s="17" t="s">
        <v>636</v>
      </c>
      <c r="J99" s="17" t="s">
        <v>365</v>
      </c>
      <c r="K99" s="17" t="s">
        <v>637</v>
      </c>
      <c r="L99" s="20" t="s">
        <v>145</v>
      </c>
      <c r="M99" s="17" t="s">
        <v>626</v>
      </c>
      <c r="N99" s="18" t="s">
        <v>92</v>
      </c>
      <c r="O99" s="17" t="s">
        <v>93</v>
      </c>
      <c r="P99" s="17" t="s">
        <v>94</v>
      </c>
      <c r="Q99" s="17" t="s">
        <v>94</v>
      </c>
    </row>
    <row r="100" spans="1:17" ht="52.05" customHeight="1">
      <c r="A100" s="16" t="s">
        <v>638</v>
      </c>
      <c r="B100" s="17" t="s">
        <v>65</v>
      </c>
      <c r="C100" s="17" t="s">
        <v>633</v>
      </c>
      <c r="D100" s="16" t="s">
        <v>17</v>
      </c>
      <c r="E100" s="17" t="s">
        <v>41</v>
      </c>
      <c r="F100" s="17" t="s">
        <v>140</v>
      </c>
      <c r="G100" s="17" t="s">
        <v>634</v>
      </c>
      <c r="H100" s="17" t="s">
        <v>639</v>
      </c>
      <c r="I100" s="17" t="s">
        <v>393</v>
      </c>
      <c r="J100" s="17" t="s">
        <v>365</v>
      </c>
      <c r="K100" s="17" t="s">
        <v>637</v>
      </c>
      <c r="L100" s="20" t="s">
        <v>145</v>
      </c>
      <c r="M100" s="17" t="s">
        <v>626</v>
      </c>
      <c r="N100" s="18" t="s">
        <v>92</v>
      </c>
      <c r="O100" s="17" t="s">
        <v>93</v>
      </c>
      <c r="P100" s="17" t="s">
        <v>94</v>
      </c>
      <c r="Q100" s="17" t="s">
        <v>94</v>
      </c>
    </row>
    <row r="101" spans="1:17" ht="52.05" customHeight="1">
      <c r="A101" s="16" t="s">
        <v>640</v>
      </c>
      <c r="B101" s="17" t="s">
        <v>65</v>
      </c>
      <c r="C101" s="17" t="s">
        <v>641</v>
      </c>
      <c r="D101" s="16" t="s">
        <v>11</v>
      </c>
      <c r="E101" s="17" t="s">
        <v>247</v>
      </c>
      <c r="F101" s="17" t="s">
        <v>642</v>
      </c>
      <c r="G101" s="17" t="s">
        <v>643</v>
      </c>
      <c r="H101" s="17" t="s">
        <v>644</v>
      </c>
      <c r="I101" s="17" t="s">
        <v>645</v>
      </c>
      <c r="J101" s="17" t="s">
        <v>152</v>
      </c>
      <c r="K101" s="17" t="s">
        <v>646</v>
      </c>
      <c r="L101" s="17" t="s">
        <v>90</v>
      </c>
      <c r="M101" s="17" t="s">
        <v>647</v>
      </c>
      <c r="N101" s="18" t="s">
        <v>92</v>
      </c>
      <c r="O101" s="17" t="s">
        <v>93</v>
      </c>
      <c r="P101" s="17" t="s">
        <v>94</v>
      </c>
      <c r="Q101" s="17" t="s">
        <v>94</v>
      </c>
    </row>
    <row r="102" spans="1:17" ht="52.05" customHeight="1">
      <c r="A102" s="16" t="s">
        <v>648</v>
      </c>
      <c r="B102" s="17" t="s">
        <v>65</v>
      </c>
      <c r="C102" s="17" t="s">
        <v>649</v>
      </c>
      <c r="D102" s="16" t="s">
        <v>15</v>
      </c>
      <c r="E102" s="17" t="s">
        <v>41</v>
      </c>
      <c r="F102" s="17" t="s">
        <v>140</v>
      </c>
      <c r="G102" s="17" t="s">
        <v>650</v>
      </c>
      <c r="H102" s="17" t="s">
        <v>292</v>
      </c>
      <c r="I102" s="17" t="s">
        <v>651</v>
      </c>
      <c r="J102" s="17" t="s">
        <v>365</v>
      </c>
      <c r="K102" s="17" t="s">
        <v>358</v>
      </c>
      <c r="L102" s="20" t="s">
        <v>145</v>
      </c>
      <c r="M102" s="17" t="s">
        <v>652</v>
      </c>
      <c r="N102" s="19" t="s">
        <v>125</v>
      </c>
      <c r="O102" s="17" t="s">
        <v>93</v>
      </c>
      <c r="P102" s="17" t="s">
        <v>94</v>
      </c>
      <c r="Q102" s="17" t="s">
        <v>94</v>
      </c>
    </row>
    <row r="103" spans="1:17" ht="52.05" customHeight="1">
      <c r="A103" s="16" t="s">
        <v>653</v>
      </c>
      <c r="B103" s="17" t="s">
        <v>65</v>
      </c>
      <c r="C103" s="17" t="s">
        <v>654</v>
      </c>
      <c r="D103" s="16" t="s">
        <v>19</v>
      </c>
      <c r="E103" s="17" t="s">
        <v>83</v>
      </c>
      <c r="F103" s="17" t="s">
        <v>655</v>
      </c>
      <c r="G103" s="17" t="s">
        <v>656</v>
      </c>
      <c r="H103" s="17" t="s">
        <v>657</v>
      </c>
      <c r="I103" s="17" t="s">
        <v>658</v>
      </c>
      <c r="J103" s="17" t="s">
        <v>659</v>
      </c>
      <c r="K103" s="17" t="s">
        <v>89</v>
      </c>
      <c r="L103" s="17" t="s">
        <v>90</v>
      </c>
      <c r="M103" s="17" t="s">
        <v>660</v>
      </c>
      <c r="N103" s="18" t="s">
        <v>92</v>
      </c>
      <c r="O103" s="17" t="s">
        <v>93</v>
      </c>
      <c r="P103" s="17" t="s">
        <v>94</v>
      </c>
      <c r="Q103" s="17" t="s">
        <v>94</v>
      </c>
    </row>
    <row r="104" spans="1:17" ht="52.05" customHeight="1">
      <c r="A104" s="16" t="s">
        <v>661</v>
      </c>
      <c r="B104" s="17" t="s">
        <v>65</v>
      </c>
      <c r="C104" s="17" t="s">
        <v>654</v>
      </c>
      <c r="D104" s="16" t="s">
        <v>23</v>
      </c>
      <c r="E104" s="17" t="s">
        <v>83</v>
      </c>
      <c r="F104" s="17" t="s">
        <v>655</v>
      </c>
      <c r="G104" s="17" t="s">
        <v>656</v>
      </c>
      <c r="H104" s="17" t="s">
        <v>662</v>
      </c>
      <c r="I104" s="17" t="s">
        <v>663</v>
      </c>
      <c r="J104" s="17" t="s">
        <v>659</v>
      </c>
      <c r="K104" s="17" t="s">
        <v>89</v>
      </c>
      <c r="L104" s="17" t="s">
        <v>90</v>
      </c>
      <c r="M104" s="17" t="s">
        <v>660</v>
      </c>
      <c r="N104" s="19" t="s">
        <v>125</v>
      </c>
      <c r="O104" s="17" t="s">
        <v>93</v>
      </c>
      <c r="P104" s="17" t="s">
        <v>94</v>
      </c>
      <c r="Q104" s="17" t="s">
        <v>94</v>
      </c>
    </row>
    <row r="105" spans="1:17" ht="52.05" customHeight="1">
      <c r="A105" s="16" t="s">
        <v>664</v>
      </c>
      <c r="B105" s="17" t="s">
        <v>65</v>
      </c>
      <c r="C105" s="17" t="s">
        <v>193</v>
      </c>
      <c r="D105" s="16" t="s">
        <v>21</v>
      </c>
      <c r="E105" s="17" t="s">
        <v>41</v>
      </c>
      <c r="F105" s="17" t="s">
        <v>140</v>
      </c>
      <c r="G105" s="17" t="s">
        <v>665</v>
      </c>
      <c r="H105" s="17" t="s">
        <v>666</v>
      </c>
      <c r="I105" s="17" t="s">
        <v>667</v>
      </c>
      <c r="J105" s="17" t="s">
        <v>668</v>
      </c>
      <c r="K105" s="17" t="s">
        <v>89</v>
      </c>
      <c r="L105" s="20" t="s">
        <v>145</v>
      </c>
      <c r="M105" s="17" t="s">
        <v>660</v>
      </c>
      <c r="N105" s="18" t="s">
        <v>92</v>
      </c>
      <c r="O105" s="17" t="s">
        <v>93</v>
      </c>
      <c r="P105" s="17" t="s">
        <v>94</v>
      </c>
      <c r="Q105" s="17" t="s">
        <v>94</v>
      </c>
    </row>
    <row r="106" spans="1:17" ht="52.05" customHeight="1">
      <c r="A106" s="16" t="s">
        <v>669</v>
      </c>
      <c r="B106" s="17" t="s">
        <v>65</v>
      </c>
      <c r="C106" s="17" t="s">
        <v>193</v>
      </c>
      <c r="D106" s="16" t="s">
        <v>13</v>
      </c>
      <c r="E106" s="17" t="s">
        <v>41</v>
      </c>
      <c r="F106" s="17" t="s">
        <v>140</v>
      </c>
      <c r="G106" s="17" t="s">
        <v>634</v>
      </c>
      <c r="H106" s="17" t="s">
        <v>670</v>
      </c>
      <c r="I106" s="17" t="s">
        <v>393</v>
      </c>
      <c r="J106" s="17" t="s">
        <v>365</v>
      </c>
      <c r="K106" s="17" t="s">
        <v>637</v>
      </c>
      <c r="L106" s="20" t="s">
        <v>145</v>
      </c>
      <c r="M106" s="17" t="s">
        <v>626</v>
      </c>
      <c r="N106" s="18" t="s">
        <v>92</v>
      </c>
      <c r="O106" s="17" t="s">
        <v>93</v>
      </c>
      <c r="P106" s="17" t="s">
        <v>94</v>
      </c>
      <c r="Q106" s="17" t="s">
        <v>94</v>
      </c>
    </row>
    <row r="107" spans="1:17" ht="52.05" customHeight="1">
      <c r="A107" s="16" t="s">
        <v>671</v>
      </c>
      <c r="B107" s="17" t="s">
        <v>66</v>
      </c>
      <c r="C107" s="17" t="s">
        <v>672</v>
      </c>
      <c r="D107" s="16" t="s">
        <v>9</v>
      </c>
      <c r="E107" s="17" t="s">
        <v>83</v>
      </c>
      <c r="F107" s="17" t="s">
        <v>673</v>
      </c>
      <c r="G107" s="17" t="s">
        <v>674</v>
      </c>
      <c r="H107" s="17" t="s">
        <v>675</v>
      </c>
      <c r="I107" s="17" t="s">
        <v>165</v>
      </c>
      <c r="J107" s="17" t="s">
        <v>676</v>
      </c>
      <c r="K107" s="17" t="s">
        <v>89</v>
      </c>
      <c r="L107" s="17" t="s">
        <v>90</v>
      </c>
      <c r="M107" s="17" t="s">
        <v>677</v>
      </c>
      <c r="N107" s="18" t="s">
        <v>92</v>
      </c>
      <c r="O107" s="17" t="s">
        <v>93</v>
      </c>
      <c r="P107" s="17" t="s">
        <v>94</v>
      </c>
      <c r="Q107" s="17" t="s">
        <v>94</v>
      </c>
    </row>
    <row r="108" spans="1:17" ht="52.05" customHeight="1">
      <c r="A108" s="16" t="s">
        <v>678</v>
      </c>
      <c r="B108" s="17" t="s">
        <v>66</v>
      </c>
      <c r="C108" s="17" t="s">
        <v>672</v>
      </c>
      <c r="D108" s="16" t="s">
        <v>11</v>
      </c>
      <c r="E108" s="17" t="s">
        <v>83</v>
      </c>
      <c r="F108" s="17" t="s">
        <v>679</v>
      </c>
      <c r="G108" s="17" t="s">
        <v>674</v>
      </c>
      <c r="H108" s="17" t="s">
        <v>680</v>
      </c>
      <c r="I108" s="17" t="s">
        <v>165</v>
      </c>
      <c r="J108" s="17" t="s">
        <v>676</v>
      </c>
      <c r="K108" s="17" t="s">
        <v>89</v>
      </c>
      <c r="L108" s="17" t="s">
        <v>90</v>
      </c>
      <c r="M108" s="17" t="s">
        <v>677</v>
      </c>
      <c r="N108" s="18" t="s">
        <v>92</v>
      </c>
      <c r="O108" s="17" t="s">
        <v>93</v>
      </c>
      <c r="P108" s="17" t="s">
        <v>94</v>
      </c>
      <c r="Q108" s="17" t="s">
        <v>94</v>
      </c>
    </row>
    <row r="109" spans="1:17" ht="52.05" customHeight="1">
      <c r="A109" s="16" t="s">
        <v>681</v>
      </c>
      <c r="B109" s="17" t="s">
        <v>66</v>
      </c>
      <c r="C109" s="17" t="s">
        <v>672</v>
      </c>
      <c r="D109" s="16" t="s">
        <v>13</v>
      </c>
      <c r="E109" s="17" t="s">
        <v>83</v>
      </c>
      <c r="F109" s="17" t="s">
        <v>679</v>
      </c>
      <c r="G109" s="17" t="s">
        <v>674</v>
      </c>
      <c r="H109" s="17" t="s">
        <v>682</v>
      </c>
      <c r="I109" s="17" t="s">
        <v>683</v>
      </c>
      <c r="J109" s="17" t="s">
        <v>676</v>
      </c>
      <c r="K109" s="17" t="s">
        <v>89</v>
      </c>
      <c r="L109" s="17" t="s">
        <v>90</v>
      </c>
      <c r="M109" s="17" t="s">
        <v>677</v>
      </c>
      <c r="N109" s="18" t="s">
        <v>92</v>
      </c>
      <c r="O109" s="17" t="s">
        <v>93</v>
      </c>
      <c r="P109" s="17" t="s">
        <v>94</v>
      </c>
      <c r="Q109" s="17" t="s">
        <v>94</v>
      </c>
    </row>
    <row r="110" spans="1:17" ht="52.05" customHeight="1">
      <c r="A110" s="16" t="s">
        <v>684</v>
      </c>
      <c r="B110" s="17" t="s">
        <v>66</v>
      </c>
      <c r="C110" s="17" t="s">
        <v>685</v>
      </c>
      <c r="D110" s="16" t="s">
        <v>15</v>
      </c>
      <c r="E110" s="17" t="s">
        <v>43</v>
      </c>
      <c r="F110" s="17" t="s">
        <v>474</v>
      </c>
      <c r="G110" s="17" t="s">
        <v>674</v>
      </c>
      <c r="H110" s="17" t="s">
        <v>686</v>
      </c>
      <c r="I110" s="17" t="s">
        <v>687</v>
      </c>
      <c r="J110" s="17" t="s">
        <v>182</v>
      </c>
      <c r="K110" s="17" t="s">
        <v>89</v>
      </c>
      <c r="L110" s="17" t="s">
        <v>90</v>
      </c>
      <c r="M110" s="17" t="s">
        <v>688</v>
      </c>
      <c r="N110" s="18" t="s">
        <v>92</v>
      </c>
      <c r="O110" s="17" t="s">
        <v>93</v>
      </c>
      <c r="P110" s="17" t="s">
        <v>94</v>
      </c>
      <c r="Q110" s="17" t="s">
        <v>94</v>
      </c>
    </row>
    <row r="111" spans="1:17" ht="52.05" customHeight="1">
      <c r="A111" s="16" t="s">
        <v>689</v>
      </c>
      <c r="B111" s="17" t="s">
        <v>66</v>
      </c>
      <c r="C111" s="17" t="s">
        <v>685</v>
      </c>
      <c r="D111" s="16" t="s">
        <v>17</v>
      </c>
      <c r="E111" s="17" t="s">
        <v>43</v>
      </c>
      <c r="F111" s="17" t="s">
        <v>690</v>
      </c>
      <c r="G111" s="17" t="s">
        <v>674</v>
      </c>
      <c r="H111" s="17" t="s">
        <v>691</v>
      </c>
      <c r="I111" s="17" t="s">
        <v>692</v>
      </c>
      <c r="J111" s="17" t="s">
        <v>182</v>
      </c>
      <c r="K111" s="17" t="s">
        <v>89</v>
      </c>
      <c r="L111" s="17" t="s">
        <v>90</v>
      </c>
      <c r="M111" s="17" t="s">
        <v>688</v>
      </c>
      <c r="N111" s="19" t="s">
        <v>125</v>
      </c>
      <c r="O111" s="17" t="s">
        <v>93</v>
      </c>
      <c r="P111" s="17" t="s">
        <v>94</v>
      </c>
      <c r="Q111" s="17" t="s">
        <v>94</v>
      </c>
    </row>
    <row r="112" spans="1:17" ht="52.05" customHeight="1">
      <c r="A112" s="16" t="s">
        <v>693</v>
      </c>
      <c r="B112" s="17" t="s">
        <v>66</v>
      </c>
      <c r="C112" s="17" t="s">
        <v>694</v>
      </c>
      <c r="D112" s="16" t="s">
        <v>19</v>
      </c>
      <c r="E112" s="17" t="s">
        <v>41</v>
      </c>
      <c r="F112" s="17" t="s">
        <v>140</v>
      </c>
      <c r="G112" s="17" t="s">
        <v>674</v>
      </c>
      <c r="H112" s="17" t="s">
        <v>392</v>
      </c>
      <c r="I112" s="17" t="s">
        <v>695</v>
      </c>
      <c r="J112" s="17" t="s">
        <v>365</v>
      </c>
      <c r="K112" s="17" t="s">
        <v>89</v>
      </c>
      <c r="L112" s="20" t="s">
        <v>145</v>
      </c>
      <c r="M112" s="17" t="s">
        <v>677</v>
      </c>
      <c r="N112" s="18" t="s">
        <v>92</v>
      </c>
      <c r="O112" s="17" t="s">
        <v>93</v>
      </c>
      <c r="P112" s="17" t="s">
        <v>94</v>
      </c>
      <c r="Q112" s="17" t="s">
        <v>94</v>
      </c>
    </row>
    <row r="113" spans="1:17" ht="52.05" customHeight="1">
      <c r="A113" s="16" t="s">
        <v>696</v>
      </c>
      <c r="B113" s="17" t="s">
        <v>66</v>
      </c>
      <c r="C113" s="17" t="s">
        <v>694</v>
      </c>
      <c r="D113" s="16" t="s">
        <v>21</v>
      </c>
      <c r="E113" s="17" t="s">
        <v>41</v>
      </c>
      <c r="F113" s="17" t="s">
        <v>140</v>
      </c>
      <c r="G113" s="17" t="s">
        <v>674</v>
      </c>
      <c r="H113" s="17" t="s">
        <v>187</v>
      </c>
      <c r="I113" s="17" t="s">
        <v>393</v>
      </c>
      <c r="J113" s="17" t="s">
        <v>365</v>
      </c>
      <c r="K113" s="17" t="s">
        <v>89</v>
      </c>
      <c r="L113" s="20" t="s">
        <v>145</v>
      </c>
      <c r="M113" s="17" t="s">
        <v>677</v>
      </c>
      <c r="N113" s="18" t="s">
        <v>92</v>
      </c>
      <c r="O113" s="17" t="s">
        <v>93</v>
      </c>
      <c r="P113" s="17" t="s">
        <v>94</v>
      </c>
      <c r="Q113" s="17" t="s">
        <v>94</v>
      </c>
    </row>
    <row r="114" spans="1:17" ht="52.05" customHeight="1">
      <c r="A114" s="16" t="s">
        <v>697</v>
      </c>
      <c r="B114" s="17" t="s">
        <v>66</v>
      </c>
      <c r="C114" s="17" t="s">
        <v>694</v>
      </c>
      <c r="D114" s="16" t="s">
        <v>23</v>
      </c>
      <c r="E114" s="17" t="s">
        <v>41</v>
      </c>
      <c r="F114" s="17" t="s">
        <v>140</v>
      </c>
      <c r="G114" s="17" t="s">
        <v>674</v>
      </c>
      <c r="H114" s="17" t="s">
        <v>192</v>
      </c>
      <c r="I114" s="17" t="s">
        <v>393</v>
      </c>
      <c r="J114" s="17" t="s">
        <v>365</v>
      </c>
      <c r="K114" s="17" t="s">
        <v>89</v>
      </c>
      <c r="L114" s="20" t="s">
        <v>145</v>
      </c>
      <c r="M114" s="17" t="s">
        <v>677</v>
      </c>
      <c r="N114" s="18" t="s">
        <v>92</v>
      </c>
      <c r="O114" s="17" t="s">
        <v>93</v>
      </c>
      <c r="P114" s="17" t="s">
        <v>94</v>
      </c>
      <c r="Q114" s="17" t="s">
        <v>94</v>
      </c>
    </row>
    <row r="115" spans="1:17" ht="52.05" customHeight="1">
      <c r="A115" s="16" t="s">
        <v>698</v>
      </c>
      <c r="B115" s="17" t="s">
        <v>66</v>
      </c>
      <c r="C115" s="17" t="s">
        <v>699</v>
      </c>
      <c r="D115" s="16" t="s">
        <v>11</v>
      </c>
      <c r="E115" s="17" t="s">
        <v>247</v>
      </c>
      <c r="F115" s="17" t="s">
        <v>700</v>
      </c>
      <c r="G115" s="17" t="s">
        <v>701</v>
      </c>
      <c r="H115" s="17" t="s">
        <v>702</v>
      </c>
      <c r="I115" s="17" t="s">
        <v>703</v>
      </c>
      <c r="J115" s="17" t="s">
        <v>330</v>
      </c>
      <c r="K115" s="17" t="s">
        <v>704</v>
      </c>
      <c r="L115" s="17" t="s">
        <v>90</v>
      </c>
      <c r="M115" s="17" t="s">
        <v>705</v>
      </c>
      <c r="N115" s="18" t="s">
        <v>92</v>
      </c>
      <c r="O115" s="17" t="s">
        <v>93</v>
      </c>
      <c r="P115" s="17" t="s">
        <v>94</v>
      </c>
      <c r="Q115" s="17" t="s">
        <v>94</v>
      </c>
    </row>
    <row r="116" spans="1:17" ht="52.05" customHeight="1">
      <c r="A116" s="16" t="s">
        <v>706</v>
      </c>
      <c r="B116" s="17" t="s">
        <v>66</v>
      </c>
      <c r="C116" s="17" t="s">
        <v>516</v>
      </c>
      <c r="D116" s="16" t="s">
        <v>15</v>
      </c>
      <c r="E116" s="17" t="s">
        <v>41</v>
      </c>
      <c r="F116" s="17" t="s">
        <v>140</v>
      </c>
      <c r="G116" s="17" t="s">
        <v>701</v>
      </c>
      <c r="H116" s="17" t="s">
        <v>707</v>
      </c>
      <c r="I116" s="17" t="s">
        <v>393</v>
      </c>
      <c r="J116" s="17" t="s">
        <v>708</v>
      </c>
      <c r="K116" s="17" t="s">
        <v>519</v>
      </c>
      <c r="L116" s="20" t="s">
        <v>145</v>
      </c>
      <c r="M116" s="17" t="s">
        <v>705</v>
      </c>
      <c r="N116" s="18" t="s">
        <v>92</v>
      </c>
      <c r="O116" s="17" t="s">
        <v>93</v>
      </c>
      <c r="P116" s="17" t="s">
        <v>94</v>
      </c>
      <c r="Q116" s="17" t="s">
        <v>94</v>
      </c>
    </row>
    <row r="117" spans="1:17" ht="52.05" customHeight="1">
      <c r="A117" s="16" t="s">
        <v>709</v>
      </c>
      <c r="B117" s="17" t="s">
        <v>66</v>
      </c>
      <c r="C117" s="17" t="s">
        <v>710</v>
      </c>
      <c r="D117" s="16" t="s">
        <v>15</v>
      </c>
      <c r="E117" s="17" t="s">
        <v>41</v>
      </c>
      <c r="F117" s="17" t="s">
        <v>140</v>
      </c>
      <c r="G117" s="17" t="s">
        <v>711</v>
      </c>
      <c r="H117" s="17" t="s">
        <v>712</v>
      </c>
      <c r="I117" s="17" t="s">
        <v>713</v>
      </c>
      <c r="J117" s="17" t="s">
        <v>714</v>
      </c>
      <c r="K117" s="17" t="s">
        <v>358</v>
      </c>
      <c r="L117" s="20" t="s">
        <v>145</v>
      </c>
      <c r="M117" s="17" t="s">
        <v>715</v>
      </c>
      <c r="N117" s="18" t="s">
        <v>92</v>
      </c>
      <c r="O117" s="17" t="s">
        <v>93</v>
      </c>
      <c r="P117" s="17" t="s">
        <v>94</v>
      </c>
      <c r="Q117" s="17" t="s">
        <v>94</v>
      </c>
    </row>
    <row r="118" spans="1:17" ht="52.05" customHeight="1">
      <c r="A118" s="16" t="s">
        <v>716</v>
      </c>
      <c r="B118" s="17" t="s">
        <v>66</v>
      </c>
      <c r="C118" s="17" t="s">
        <v>717</v>
      </c>
      <c r="D118" s="16" t="s">
        <v>15</v>
      </c>
      <c r="E118" s="17" t="s">
        <v>247</v>
      </c>
      <c r="F118" s="17" t="s">
        <v>718</v>
      </c>
      <c r="G118" s="17" t="s">
        <v>719</v>
      </c>
      <c r="H118" s="17" t="s">
        <v>720</v>
      </c>
      <c r="I118" s="17" t="s">
        <v>721</v>
      </c>
      <c r="J118" s="17" t="s">
        <v>152</v>
      </c>
      <c r="K118" s="17" t="s">
        <v>722</v>
      </c>
      <c r="L118" s="17" t="s">
        <v>90</v>
      </c>
      <c r="M118" s="17" t="s">
        <v>723</v>
      </c>
      <c r="N118" s="18" t="s">
        <v>92</v>
      </c>
      <c r="O118" s="17" t="s">
        <v>93</v>
      </c>
      <c r="P118" s="17" t="s">
        <v>94</v>
      </c>
      <c r="Q118" s="17" t="s">
        <v>94</v>
      </c>
    </row>
    <row r="119" spans="1:17" ht="52.05" customHeight="1">
      <c r="A119" s="16" t="s">
        <v>724</v>
      </c>
      <c r="B119" s="17" t="s">
        <v>66</v>
      </c>
      <c r="C119" s="17" t="s">
        <v>725</v>
      </c>
      <c r="D119" s="16" t="s">
        <v>19</v>
      </c>
      <c r="E119" s="17" t="s">
        <v>41</v>
      </c>
      <c r="F119" s="17" t="s">
        <v>140</v>
      </c>
      <c r="G119" s="17" t="s">
        <v>726</v>
      </c>
      <c r="H119" s="17" t="s">
        <v>727</v>
      </c>
      <c r="I119" s="17" t="s">
        <v>393</v>
      </c>
      <c r="J119" s="17" t="s">
        <v>365</v>
      </c>
      <c r="K119" s="17" t="s">
        <v>358</v>
      </c>
      <c r="L119" s="20" t="s">
        <v>145</v>
      </c>
      <c r="M119" s="17" t="s">
        <v>723</v>
      </c>
      <c r="N119" s="18" t="s">
        <v>92</v>
      </c>
      <c r="O119" s="17" t="s">
        <v>93</v>
      </c>
      <c r="P119" s="17" t="s">
        <v>94</v>
      </c>
      <c r="Q119" s="17" t="s">
        <v>94</v>
      </c>
    </row>
    <row r="120" spans="1:17" ht="52.05" customHeight="1">
      <c r="A120" s="16" t="s">
        <v>728</v>
      </c>
      <c r="B120" s="17" t="s">
        <v>66</v>
      </c>
      <c r="C120" s="17" t="s">
        <v>729</v>
      </c>
      <c r="D120" s="16" t="s">
        <v>11</v>
      </c>
      <c r="E120" s="17" t="s">
        <v>247</v>
      </c>
      <c r="F120" s="17" t="s">
        <v>730</v>
      </c>
      <c r="G120" s="17" t="s">
        <v>731</v>
      </c>
      <c r="H120" s="17" t="s">
        <v>732</v>
      </c>
      <c r="I120" s="17" t="s">
        <v>733</v>
      </c>
      <c r="J120" s="17" t="s">
        <v>152</v>
      </c>
      <c r="K120" s="17" t="s">
        <v>734</v>
      </c>
      <c r="L120" s="17" t="s">
        <v>90</v>
      </c>
      <c r="M120" s="17" t="s">
        <v>735</v>
      </c>
      <c r="N120" s="18" t="s">
        <v>92</v>
      </c>
      <c r="O120" s="17" t="s">
        <v>93</v>
      </c>
      <c r="P120" s="17" t="s">
        <v>94</v>
      </c>
      <c r="Q120" s="17" t="s">
        <v>94</v>
      </c>
    </row>
    <row r="121" spans="1:17" ht="52.05" customHeight="1">
      <c r="A121" s="16" t="s">
        <v>736</v>
      </c>
      <c r="B121" s="17" t="s">
        <v>66</v>
      </c>
      <c r="C121" s="17" t="s">
        <v>737</v>
      </c>
      <c r="D121" s="16" t="s">
        <v>15</v>
      </c>
      <c r="E121" s="17" t="s">
        <v>41</v>
      </c>
      <c r="F121" s="17" t="s">
        <v>140</v>
      </c>
      <c r="G121" s="17" t="s">
        <v>738</v>
      </c>
      <c r="H121" s="17" t="s">
        <v>739</v>
      </c>
      <c r="I121" s="17" t="s">
        <v>740</v>
      </c>
      <c r="J121" s="17" t="s">
        <v>365</v>
      </c>
      <c r="K121" s="17" t="s">
        <v>89</v>
      </c>
      <c r="L121" s="20" t="s">
        <v>145</v>
      </c>
      <c r="M121" s="17" t="s">
        <v>741</v>
      </c>
      <c r="N121" s="19" t="s">
        <v>125</v>
      </c>
      <c r="O121" s="17" t="s">
        <v>93</v>
      </c>
      <c r="P121" s="17" t="s">
        <v>94</v>
      </c>
      <c r="Q121" s="17" t="s">
        <v>94</v>
      </c>
    </row>
  </sheetData>
  <autoFilter ref="A1:Q1"/>
  <dataValidations count="5">
    <dataValidation type="list" showErrorMessage="1" errorTitle="Role" error="Pick a role from the list" sqref="D2:D121">
      <formula1>"Super Admin,Admin,Recruiter,Team Lead,Team Admin,Employee,Intern,SME"</formula1>
    </dataValidation>
    <dataValidation type="list" showErrorMessage="1" sqref="E2:E121">
      <formula1>"Access,Scope,Workflow,Edge,Negative"</formula1>
    </dataValidation>
    <dataValidation type="list" showErrorMessage="1" sqref="L2:L121">
      <formula1>"Yes,No"</formula1>
    </dataValidation>
    <dataValidation type="list" showErrorMessage="1" sqref="N2:N121">
      <formula1>"P1,P2,P3"</formula1>
    </dataValidation>
    <dataValidation type="list" showErrorMessage="1" sqref="O2:O121">
      <formula1>"Not run,Pass,Fail,Blocked"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RowHeight="14.4"/>
  <cols>
    <col min="1" max="2" width="26" customWidth="1"/>
    <col min="3" max="3" width="34" customWidth="1"/>
    <col min="4" max="4" width="40" customWidth="1"/>
    <col min="5" max="5" width="24" customWidth="1"/>
    <col min="6" max="9" width="20" customWidth="1"/>
  </cols>
  <sheetData>
    <row r="1" spans="1:9" s="21" customFormat="1" ht="12">
      <c r="A1" s="21" t="s">
        <v>742</v>
      </c>
    </row>
    <row r="2" spans="1:9" s="22" customFormat="1" ht="12">
      <c r="A2" s="22" t="s">
        <v>743</v>
      </c>
    </row>
    <row r="3" spans="1:9" ht="17.55" customHeight="1">
      <c r="A3" s="23" t="s">
        <v>744</v>
      </c>
      <c r="B3" s="23" t="s">
        <v>9</v>
      </c>
      <c r="C3" s="23" t="s">
        <v>11</v>
      </c>
      <c r="D3" s="23" t="s">
        <v>15</v>
      </c>
      <c r="E3" s="23" t="s">
        <v>17</v>
      </c>
      <c r="F3" s="23" t="s">
        <v>19</v>
      </c>
      <c r="G3" s="23" t="s">
        <v>21</v>
      </c>
      <c r="H3" s="23" t="s">
        <v>23</v>
      </c>
      <c r="I3" s="23" t="s">
        <v>13</v>
      </c>
    </row>
    <row r="4" spans="1:9" ht="12">
      <c r="A4" s="16" t="s">
        <v>9</v>
      </c>
      <c r="B4" s="17" t="s">
        <v>145</v>
      </c>
      <c r="C4" s="17" t="s">
        <v>145</v>
      </c>
      <c r="D4" s="17" t="s">
        <v>145</v>
      </c>
      <c r="E4" s="17" t="s">
        <v>145</v>
      </c>
      <c r="F4" s="17" t="s">
        <v>745</v>
      </c>
      <c r="G4" s="17" t="s">
        <v>145</v>
      </c>
      <c r="H4" s="17" t="s">
        <v>145</v>
      </c>
      <c r="I4" s="17" t="s">
        <v>746</v>
      </c>
    </row>
    <row r="5" spans="1:9" ht="12">
      <c r="A5" s="16" t="s">
        <v>11</v>
      </c>
      <c r="B5" s="17" t="s">
        <v>747</v>
      </c>
      <c r="C5" s="17" t="s">
        <v>145</v>
      </c>
      <c r="D5" s="17" t="s">
        <v>145</v>
      </c>
      <c r="E5" s="17" t="s">
        <v>145</v>
      </c>
      <c r="F5" s="17" t="s">
        <v>145</v>
      </c>
      <c r="G5" s="17" t="s">
        <v>145</v>
      </c>
      <c r="H5" s="17" t="s">
        <v>145</v>
      </c>
      <c r="I5" s="17" t="s">
        <v>746</v>
      </c>
    </row>
    <row r="6" spans="1:9" ht="12">
      <c r="A6" s="16" t="s">
        <v>15</v>
      </c>
      <c r="B6" s="17" t="s">
        <v>90</v>
      </c>
      <c r="C6" s="17" t="s">
        <v>90</v>
      </c>
      <c r="D6" s="17" t="s">
        <v>90</v>
      </c>
      <c r="E6" s="17" t="s">
        <v>748</v>
      </c>
      <c r="F6" s="17" t="s">
        <v>748</v>
      </c>
      <c r="G6" s="17" t="s">
        <v>748</v>
      </c>
      <c r="H6" s="17" t="s">
        <v>748</v>
      </c>
      <c r="I6" s="17" t="s">
        <v>746</v>
      </c>
    </row>
    <row r="7" spans="1:9" ht="12">
      <c r="A7" s="16" t="s">
        <v>17</v>
      </c>
      <c r="B7" s="17" t="s">
        <v>90</v>
      </c>
      <c r="C7" s="17" t="s">
        <v>90</v>
      </c>
      <c r="D7" s="17" t="s">
        <v>90</v>
      </c>
      <c r="E7" s="17" t="s">
        <v>90</v>
      </c>
      <c r="F7" s="17" t="s">
        <v>748</v>
      </c>
      <c r="G7" s="17" t="s">
        <v>748</v>
      </c>
      <c r="H7" s="17" t="s">
        <v>748</v>
      </c>
      <c r="I7" s="17" t="s">
        <v>746</v>
      </c>
    </row>
    <row r="9" spans="1:9" s="21" customFormat="1" ht="12">
      <c r="A9" s="21" t="s">
        <v>749</v>
      </c>
    </row>
    <row r="10" spans="1:9" s="22" customFormat="1" ht="12">
      <c r="A10" s="22" t="s">
        <v>750</v>
      </c>
    </row>
    <row r="11" spans="1:9" ht="17.55" customHeight="1">
      <c r="A11" s="23" t="s">
        <v>751</v>
      </c>
      <c r="B11" s="23" t="s">
        <v>752</v>
      </c>
      <c r="C11" s="23" t="s">
        <v>753</v>
      </c>
      <c r="D11" s="23" t="s">
        <v>754</v>
      </c>
    </row>
    <row r="12" spans="1:9" ht="12">
      <c r="A12" s="16" t="s">
        <v>318</v>
      </c>
      <c r="B12" s="17" t="s">
        <v>755</v>
      </c>
      <c r="C12" s="17" t="s">
        <v>756</v>
      </c>
      <c r="D12" s="17" t="s">
        <v>757</v>
      </c>
    </row>
    <row r="13" spans="1:9" ht="12">
      <c r="A13" s="16" t="s">
        <v>758</v>
      </c>
      <c r="B13" s="17" t="s">
        <v>759</v>
      </c>
      <c r="C13" s="17" t="s">
        <v>760</v>
      </c>
      <c r="D13" s="17" t="s">
        <v>761</v>
      </c>
    </row>
    <row r="14" spans="1:9" ht="12">
      <c r="A14" s="16" t="s">
        <v>762</v>
      </c>
      <c r="B14" s="17" t="s">
        <v>763</v>
      </c>
      <c r="C14" s="17" t="s">
        <v>764</v>
      </c>
      <c r="D14" s="17" t="s">
        <v>765</v>
      </c>
    </row>
    <row r="15" spans="1:9" ht="12">
      <c r="A15" s="16" t="s">
        <v>766</v>
      </c>
      <c r="B15" s="17" t="s">
        <v>767</v>
      </c>
      <c r="C15" s="17" t="s">
        <v>768</v>
      </c>
      <c r="D15" s="17" t="s">
        <v>765</v>
      </c>
    </row>
    <row r="16" spans="1:9" ht="12">
      <c r="A16" s="16" t="s">
        <v>769</v>
      </c>
      <c r="B16" s="17" t="s">
        <v>770</v>
      </c>
      <c r="C16" s="17" t="s">
        <v>771</v>
      </c>
      <c r="D16" s="17" t="s">
        <v>772</v>
      </c>
    </row>
    <row r="17" spans="1:4" ht="12">
      <c r="A17" s="16" t="s">
        <v>773</v>
      </c>
      <c r="B17" s="17" t="s">
        <v>774</v>
      </c>
      <c r="C17" s="17" t="s">
        <v>775</v>
      </c>
      <c r="D17" s="17" t="s">
        <v>776</v>
      </c>
    </row>
    <row r="19" spans="1:4" s="21" customFormat="1" ht="12">
      <c r="A19" s="21" t="s">
        <v>777</v>
      </c>
    </row>
    <row r="20" spans="1:4" s="22" customFormat="1" ht="12">
      <c r="A20" s="22" t="s">
        <v>778</v>
      </c>
    </row>
    <row r="21" spans="1:4" ht="17.55" customHeight="1">
      <c r="A21" s="23" t="s">
        <v>779</v>
      </c>
      <c r="B21" s="23" t="s">
        <v>780</v>
      </c>
      <c r="C21" s="23" t="s">
        <v>753</v>
      </c>
      <c r="D21" s="23" t="s">
        <v>754</v>
      </c>
    </row>
    <row r="22" spans="1:4" ht="27.6">
      <c r="A22" s="16" t="s">
        <v>781</v>
      </c>
      <c r="B22" s="17" t="s">
        <v>782</v>
      </c>
      <c r="C22" s="17" t="s">
        <v>783</v>
      </c>
      <c r="D22" s="17" t="s">
        <v>784</v>
      </c>
    </row>
    <row r="23" spans="1:4" ht="27.6">
      <c r="A23" s="16" t="s">
        <v>785</v>
      </c>
      <c r="B23" s="17" t="s">
        <v>782</v>
      </c>
      <c r="C23" s="17" t="s">
        <v>786</v>
      </c>
      <c r="D23" s="17" t="s">
        <v>787</v>
      </c>
    </row>
    <row r="24" spans="1:4" ht="27.6">
      <c r="A24" s="16" t="s">
        <v>788</v>
      </c>
      <c r="B24" s="17" t="s">
        <v>782</v>
      </c>
      <c r="C24" s="17" t="s">
        <v>789</v>
      </c>
      <c r="D24" s="17" t="s">
        <v>790</v>
      </c>
    </row>
    <row r="25" spans="1:4">
      <c r="A25" s="16" t="s">
        <v>791</v>
      </c>
      <c r="B25" s="17" t="s">
        <v>792</v>
      </c>
      <c r="C25" s="17" t="s">
        <v>793</v>
      </c>
      <c r="D25" s="17" t="s">
        <v>794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/>
  <cols>
    <col min="1" max="1" width="22" customWidth="1"/>
    <col min="2" max="2" width="16" customWidth="1"/>
    <col min="3" max="3" width="60" customWidth="1"/>
  </cols>
  <sheetData>
    <row r="1" spans="1:3" ht="17.55" customHeight="1">
      <c r="A1" s="2" t="s">
        <v>795</v>
      </c>
      <c r="B1" s="2" t="s">
        <v>796</v>
      </c>
      <c r="C1" s="2" t="s">
        <v>797</v>
      </c>
    </row>
    <row r="2" spans="1:3" ht="12">
      <c r="A2" s="12" t="s">
        <v>798</v>
      </c>
      <c r="B2" s="12">
        <v>120</v>
      </c>
      <c r="C2" s="24" t="s">
        <v>799</v>
      </c>
    </row>
    <row r="3" spans="1:3" ht="12">
      <c r="A3" s="12" t="s">
        <v>800</v>
      </c>
      <c r="B3" s="12">
        <f>COUNTIF(Scenarios!O2:O122,"Pass")</f>
        <v>0</v>
      </c>
      <c r="C3" s="24" t="s">
        <v>801</v>
      </c>
    </row>
    <row r="4" spans="1:3" ht="12">
      <c r="A4" s="12" t="s">
        <v>802</v>
      </c>
      <c r="B4" s="12">
        <f>COUNTIF(Scenarios!O2:O122,"Fail")</f>
        <v>0</v>
      </c>
      <c r="C4" s="24" t="s">
        <v>803</v>
      </c>
    </row>
    <row r="5" spans="1:3" ht="12">
      <c r="A5" s="12" t="s">
        <v>546</v>
      </c>
      <c r="B5" s="12">
        <f>COUNTIF(Scenarios!O2:O122,"Blocked")</f>
        <v>0</v>
      </c>
      <c r="C5" s="24" t="s">
        <v>804</v>
      </c>
    </row>
    <row r="6" spans="1:3" ht="12">
      <c r="A6" s="12" t="s">
        <v>93</v>
      </c>
      <c r="B6" s="12">
        <f>COUNTIF(Scenarios!O2:O122,"Not run")</f>
        <v>120</v>
      </c>
      <c r="C6" s="24" t="s">
        <v>805</v>
      </c>
    </row>
    <row r="7" spans="1:3" ht="12">
      <c r="A7" s="12" t="s">
        <v>806</v>
      </c>
      <c r="B7" s="25">
        <f>IFERROR(COUNTIF(Scenarios!O2:O122,"Pass")/COUNTA(Scenarios!A2:A122),0)</f>
        <v>0</v>
      </c>
      <c r="C7" s="24" t="s">
        <v>807</v>
      </c>
    </row>
    <row r="8" spans="1:3" ht="12">
      <c r="A8" s="12" t="s">
        <v>808</v>
      </c>
      <c r="B8" s="4" t="s">
        <v>94</v>
      </c>
      <c r="C8" s="4" t="s">
        <v>809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&amp; How to Run</vt:lpstr>
      <vt:lpstr>Matrix</vt:lpstr>
      <vt:lpstr>Scenarios</vt:lpstr>
      <vt:lpstr>Workflow Annex</vt:lpstr>
      <vt:lpstr>Execution Log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2026-09-19T14:35:43Z</dcterms:created>
  <dcterms:modified xsi:type="dcterms:W3CDTF">2026-09-19T16:53:33Z</dcterms:modified>
  <cp:category/>
</cp:coreProperties>
</file>